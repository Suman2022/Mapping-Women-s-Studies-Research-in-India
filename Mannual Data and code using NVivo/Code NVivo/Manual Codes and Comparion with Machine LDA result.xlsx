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Women Studies paper Data\Manual analysis code and data\"/>
    </mc:Choice>
  </mc:AlternateContent>
  <xr:revisionPtr revIDLastSave="0" documentId="13_ncr:1_{A3422F93-27B4-483F-BFF7-E15396B5A492}" xr6:coauthVersionLast="47" xr6:coauthVersionMax="47" xr10:uidLastSave="{00000000-0000-0000-0000-000000000000}"/>
  <bookViews>
    <workbookView xWindow="690" yWindow="825" windowWidth="27705" windowHeight="14025" activeTab="3" xr2:uid="{00000000-000D-0000-FFFF-FFFF00000000}"/>
  </bookViews>
  <sheets>
    <sheet name="Final" sheetId="3" r:id="rId1"/>
    <sheet name="Manual Analysis code Percentage" sheetId="4" r:id="rId2"/>
    <sheet name="Stratified random Sampling" sheetId="5" r:id="rId3"/>
    <sheet name="Comparison with manual coding" sheetId="6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3" i="5"/>
  <c r="C62" i="3"/>
  <c r="E62" i="3"/>
</calcChain>
</file>

<file path=xl/sharedStrings.xml><?xml version="1.0" encoding="utf-8"?>
<sst xmlns="http://schemas.openxmlformats.org/spreadsheetml/2006/main" count="302" uniqueCount="174">
  <si>
    <t>Decision Makers</t>
  </si>
  <si>
    <t>Work Life Balance</t>
  </si>
  <si>
    <t>Sexual Abuse</t>
  </si>
  <si>
    <t>Creative Industries</t>
  </si>
  <si>
    <t>Entrepreneural creativity and challenges</t>
  </si>
  <si>
    <t>Religious</t>
  </si>
  <si>
    <t>Educational Infrustructure</t>
  </si>
  <si>
    <t>Violence and women dignity</t>
  </si>
  <si>
    <t>Unemployment</t>
  </si>
  <si>
    <t>Molestation</t>
  </si>
  <si>
    <t>Role of Politics</t>
  </si>
  <si>
    <t>Psychological Harassment</t>
  </si>
  <si>
    <t>Development Contradiction</t>
  </si>
  <si>
    <t>Dignity and Social Justice</t>
  </si>
  <si>
    <t>WorkLife Balance</t>
  </si>
  <si>
    <t>Inequality in Girl Child Education</t>
  </si>
  <si>
    <t>Insurance And Microfinance</t>
  </si>
  <si>
    <t>Health Awarness</t>
  </si>
  <si>
    <t>Occupation</t>
  </si>
  <si>
    <t>Rural Development</t>
  </si>
  <si>
    <t>Technology Innovation and Benefits</t>
  </si>
  <si>
    <t>Agricultural  activities and roles</t>
  </si>
  <si>
    <t>Rural Livelihoos</t>
  </si>
  <si>
    <t>Urban Housing Policy</t>
  </si>
  <si>
    <t>Health Concern</t>
  </si>
  <si>
    <t>Laws, acts and Rights</t>
  </si>
  <si>
    <t>Woman Participation in Movement</t>
  </si>
  <si>
    <t>Emotional  and Mental Portrayal</t>
  </si>
  <si>
    <t>Women Well Veing and movement participation</t>
  </si>
  <si>
    <t>Transportation</t>
  </si>
  <si>
    <t>Innovation and ideas</t>
  </si>
  <si>
    <t>Rights and Justices</t>
  </si>
  <si>
    <t>Women empowerment</t>
  </si>
  <si>
    <t>Labour and Wages</t>
  </si>
  <si>
    <t>Community Development</t>
  </si>
  <si>
    <t>Dalit and Marginalized Socity</t>
  </si>
  <si>
    <t>Agriculture and Labour Challange</t>
  </si>
  <si>
    <t>Job Security and Satisfaction</t>
  </si>
  <si>
    <t>Self Employment</t>
  </si>
  <si>
    <t>Financial Status</t>
  </si>
  <si>
    <t>Familty and welfare</t>
  </si>
  <si>
    <t>Education Empowerment</t>
  </si>
  <si>
    <t>Religious and Sprituality</t>
  </si>
  <si>
    <t>Reproductive Health</t>
  </si>
  <si>
    <t>Emotional Intelligence Factor</t>
  </si>
  <si>
    <t>Agriculture Development</t>
  </si>
  <si>
    <t>Unemployment and Labour</t>
  </si>
  <si>
    <t>Women Security</t>
  </si>
  <si>
    <t>Family Planning</t>
  </si>
  <si>
    <t>Employment and Workforcs</t>
  </si>
  <si>
    <t>Domentic Violence</t>
  </si>
  <si>
    <t>Gender and Inequality</t>
  </si>
  <si>
    <t>Rural Governance</t>
  </si>
  <si>
    <t>Political Participation</t>
  </si>
  <si>
    <t>Socio-Religious Movements</t>
  </si>
  <si>
    <t>Political Empowerment</t>
  </si>
  <si>
    <t>Education and drawbacks</t>
  </si>
  <si>
    <t>Financial Stability of women</t>
  </si>
  <si>
    <t>Panchayat Raj</t>
  </si>
  <si>
    <t>SHG and Community Development</t>
  </si>
  <si>
    <t>Urban Development</t>
  </si>
  <si>
    <t>Victims</t>
  </si>
  <si>
    <t>Sexual abuse and Harrasmant</t>
  </si>
  <si>
    <t>Challenges of Women Entrepreneurs.</t>
  </si>
  <si>
    <t>Urban Local Bodies</t>
  </si>
  <si>
    <t>Bank and finance</t>
  </si>
  <si>
    <t>Policy Drawbacks</t>
  </si>
  <si>
    <t>Well-being</t>
  </si>
  <si>
    <t>Behaviral Engagement</t>
  </si>
  <si>
    <t>Socio- cultural problems</t>
  </si>
  <si>
    <t>Women Employee Discrimination</t>
  </si>
  <si>
    <t>Culture and Caste Identity</t>
  </si>
  <si>
    <t>Technology advancement</t>
  </si>
  <si>
    <t>Media and Communication</t>
  </si>
  <si>
    <t>SHG</t>
  </si>
  <si>
    <t>Harrasment</t>
  </si>
  <si>
    <t>Spirituality</t>
  </si>
  <si>
    <t>Tribal Culture</t>
  </si>
  <si>
    <t>Socio Economic Conditions</t>
  </si>
  <si>
    <t>Economic Empowerment</t>
  </si>
  <si>
    <t>Sub-domains</t>
  </si>
  <si>
    <t>Domains</t>
  </si>
  <si>
    <t>Domain frequency 
(%)</t>
  </si>
  <si>
    <t>Sub-domain frequency
(%)</t>
  </si>
  <si>
    <t>147 (10.34)</t>
  </si>
  <si>
    <t>109 (7.67)</t>
  </si>
  <si>
    <t>94 (6.62)</t>
  </si>
  <si>
    <t>82 (5.77)</t>
  </si>
  <si>
    <t>79 (5.56)</t>
  </si>
  <si>
    <t>72 (5.07)</t>
  </si>
  <si>
    <t>67 (4.71)</t>
  </si>
  <si>
    <t>58 (4.08)</t>
  </si>
  <si>
    <t>56 (3.94)</t>
  </si>
  <si>
    <t>50 (3.52)</t>
  </si>
  <si>
    <t>48 (3.38)</t>
  </si>
  <si>
    <t>47 (3.31)</t>
  </si>
  <si>
    <t>43 (3.03)</t>
  </si>
  <si>
    <t>39 (2.74)</t>
  </si>
  <si>
    <t>38 (2.67)</t>
  </si>
  <si>
    <t>33 (2.32)</t>
  </si>
  <si>
    <t>31 (2.18)</t>
  </si>
  <si>
    <t>27 (1.90)</t>
  </si>
  <si>
    <t>25 (1.76)</t>
  </si>
  <si>
    <t>24 (1.69)</t>
  </si>
  <si>
    <t>22 (1.55)</t>
  </si>
  <si>
    <t>20 (1.41))</t>
  </si>
  <si>
    <t>20 (1.41)</t>
  </si>
  <si>
    <t>16 (1.13)</t>
  </si>
  <si>
    <t>14 (0.99)</t>
  </si>
  <si>
    <t>11 (0.77)</t>
  </si>
  <si>
    <t>10 (0.70)</t>
  </si>
  <si>
    <t>6 (0.42)</t>
  </si>
  <si>
    <t>4 (0.28)</t>
  </si>
  <si>
    <t>46 (3.24)</t>
  </si>
  <si>
    <t>70 (4.93)</t>
  </si>
  <si>
    <t>36 (2.53)</t>
  </si>
  <si>
    <t>41 (2.89)</t>
  </si>
  <si>
    <t>93 (6.54)</t>
  </si>
  <si>
    <t>75 (5.28)</t>
  </si>
  <si>
    <t>19 (1.34)</t>
  </si>
  <si>
    <t>30 (20.11)</t>
  </si>
  <si>
    <t>29 (2.04)</t>
  </si>
  <si>
    <t>23 (1.62)</t>
  </si>
  <si>
    <t>53 (3.73)</t>
  </si>
  <si>
    <t>26 (1.83)</t>
  </si>
  <si>
    <t>8 (0.56)</t>
  </si>
  <si>
    <t>59 (4.15)</t>
  </si>
  <si>
    <t>2 (0.14)</t>
  </si>
  <si>
    <t>15 (1.06)</t>
  </si>
  <si>
    <t>3 (0.21)</t>
  </si>
  <si>
    <t>32 (2.25)</t>
  </si>
  <si>
    <t>37 (2.60)</t>
  </si>
  <si>
    <t>9 (0.63)</t>
  </si>
  <si>
    <t>21 (1.48)</t>
  </si>
  <si>
    <t>18 (1.27)</t>
  </si>
  <si>
    <t>17 (1.20)</t>
  </si>
  <si>
    <t>13 (0.91)</t>
  </si>
  <si>
    <t>7 (0.49)</t>
  </si>
  <si>
    <t>5 (0.35)</t>
  </si>
  <si>
    <t>1421 (100)</t>
  </si>
  <si>
    <t>Cultural zones</t>
  </si>
  <si>
    <t>Distribution</t>
  </si>
  <si>
    <t>Theses (N)</t>
  </si>
  <si>
    <t>Percentage</t>
  </si>
  <si>
    <t>Stratified Random</t>
  </si>
  <si>
    <t>Sampling</t>
  </si>
  <si>
    <t>Southern Zone</t>
  </si>
  <si>
    <t>Northern Zone</t>
  </si>
  <si>
    <t>Central Zone</t>
  </si>
  <si>
    <t>Eastern Zone</t>
  </si>
  <si>
    <t>Western Zone</t>
  </si>
  <si>
    <t>North-eastern Zone</t>
  </si>
  <si>
    <t>Total</t>
  </si>
  <si>
    <t>Topics</t>
  </si>
  <si>
    <t>Machine-based Analysis</t>
  </si>
  <si>
    <t>Manual Analysis (Domanis)</t>
  </si>
  <si>
    <t>Cultural identity</t>
  </si>
  <si>
    <t>Culture and caste identity</t>
  </si>
  <si>
    <t>Violence and women rights</t>
  </si>
  <si>
    <t>Community development</t>
  </si>
  <si>
    <t>SHG and community development</t>
  </si>
  <si>
    <t>Entrepreneurship development</t>
  </si>
  <si>
    <t>Challenges of women entrepreneurs</t>
  </si>
  <si>
    <t>Girl child education</t>
  </si>
  <si>
    <t>Family and girl child</t>
  </si>
  <si>
    <t>Rural politics</t>
  </si>
  <si>
    <t>Rural livelihoods</t>
  </si>
  <si>
    <t>Health issues</t>
  </si>
  <si>
    <t>Health concern</t>
  </si>
  <si>
    <t>Work-life balance</t>
  </si>
  <si>
    <t>Educational factors</t>
  </si>
  <si>
    <t>Educational drawbacks</t>
  </si>
  <si>
    <t>Agriculture and rural income</t>
  </si>
  <si>
    <t>Agriculture and labour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</si>
</sst>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3F3F3F"/>
      <name val="Times New Roman"/>
      <family val="1"/>
    </font>
    <font>
      <sz val="11"/>
      <color rgb="FF3F3F3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7">
    <xf numFmtId="0" fontId="0" fillId="0" borderId="0" xfId="0"/>
    <xf numFmtId="0" fontId="3" fillId="0" borderId="0" xfId="0" applyFont="1"/>
    <xf numFmtId="0" fontId="4" fillId="2" borderId="1" xfId="1" applyFont="1" applyAlignment="1">
      <alignment vertical="center"/>
    </xf>
    <xf numFmtId="0" fontId="4" fillId="2" borderId="1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left" vertical="top" indent="1"/>
    </xf>
    <xf numFmtId="0" fontId="5" fillId="2" borderId="1" xfId="1" applyFont="1"/>
    <xf numFmtId="2" fontId="3" fillId="0" borderId="0" xfId="0" applyNumberFormat="1" applyFont="1"/>
    <xf numFmtId="2" fontId="5" fillId="2" borderId="1" xfId="1" applyNumberFormat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9" fontId="7" fillId="3" borderId="5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9" fontId="6" fillId="3" borderId="5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54804489264539E-2"/>
          <c:y val="4.3939123712069185E-2"/>
          <c:w val="0.89924351645544942"/>
          <c:h val="0.635272019158093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[1]Sheet1!$C$1</c:f>
              <c:strCache>
                <c:ptCount val="1"/>
                <c:pt idx="0">
                  <c:v>Machine-based Analysis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[1]Sheet1!$B$2:$B$30</c:f>
              <c:strCache>
                <c:ptCount val="29"/>
                <c:pt idx="0">
                  <c:v>Cultural identity</c:v>
                </c:pt>
                <c:pt idx="1">
                  <c:v>Culture and caste identity</c:v>
                </c:pt>
                <c:pt idx="3">
                  <c:v>Violence and women rights</c:v>
                </c:pt>
                <c:pt idx="4">
                  <c:v>Violence and women dignity</c:v>
                </c:pt>
                <c:pt idx="6">
                  <c:v>Community development</c:v>
                </c:pt>
                <c:pt idx="7">
                  <c:v>SHG and community development</c:v>
                </c:pt>
                <c:pt idx="9">
                  <c:v>Entrepreneurship development</c:v>
                </c:pt>
                <c:pt idx="10">
                  <c:v>Challenges of women entrepreneurs</c:v>
                </c:pt>
                <c:pt idx="12">
                  <c:v>Girl child education</c:v>
                </c:pt>
                <c:pt idx="13">
                  <c:v>Family and girl child</c:v>
                </c:pt>
                <c:pt idx="15">
                  <c:v>Rural politics</c:v>
                </c:pt>
                <c:pt idx="16">
                  <c:v>Rural livelihoods</c:v>
                </c:pt>
                <c:pt idx="18">
                  <c:v>Health issues</c:v>
                </c:pt>
                <c:pt idx="19">
                  <c:v>Health concern</c:v>
                </c:pt>
                <c:pt idx="21">
                  <c:v>Work-life balance</c:v>
                </c:pt>
                <c:pt idx="22">
                  <c:v>Work-life balance</c:v>
                </c:pt>
                <c:pt idx="24">
                  <c:v>Educational factors</c:v>
                </c:pt>
                <c:pt idx="25">
                  <c:v>Educational drawbacks</c:v>
                </c:pt>
                <c:pt idx="27">
                  <c:v>Agriculture and rural income</c:v>
                </c:pt>
                <c:pt idx="28">
                  <c:v>Agriculture and labour challenges</c:v>
                </c:pt>
              </c:strCache>
            </c:strRef>
          </c:cat>
          <c:val>
            <c:numRef>
              <c:f>[1]Sheet1!$C$2:$C$30</c:f>
              <c:numCache>
                <c:formatCode>General</c:formatCode>
                <c:ptCount val="29"/>
                <c:pt idx="0">
                  <c:v>15.61</c:v>
                </c:pt>
                <c:pt idx="1">
                  <c:v>0</c:v>
                </c:pt>
                <c:pt idx="3">
                  <c:v>12.03</c:v>
                </c:pt>
                <c:pt idx="4">
                  <c:v>0</c:v>
                </c:pt>
                <c:pt idx="6">
                  <c:v>11.76</c:v>
                </c:pt>
                <c:pt idx="7">
                  <c:v>0</c:v>
                </c:pt>
                <c:pt idx="9">
                  <c:v>11.72</c:v>
                </c:pt>
                <c:pt idx="10">
                  <c:v>0</c:v>
                </c:pt>
                <c:pt idx="12">
                  <c:v>9.6999999999999993</c:v>
                </c:pt>
                <c:pt idx="13">
                  <c:v>0</c:v>
                </c:pt>
                <c:pt idx="15">
                  <c:v>9.48</c:v>
                </c:pt>
                <c:pt idx="16">
                  <c:v>0</c:v>
                </c:pt>
                <c:pt idx="18">
                  <c:v>8.18</c:v>
                </c:pt>
                <c:pt idx="19">
                  <c:v>0</c:v>
                </c:pt>
                <c:pt idx="21">
                  <c:v>7.55</c:v>
                </c:pt>
                <c:pt idx="22">
                  <c:v>0</c:v>
                </c:pt>
                <c:pt idx="24">
                  <c:v>7.06</c:v>
                </c:pt>
                <c:pt idx="25">
                  <c:v>0</c:v>
                </c:pt>
                <c:pt idx="27">
                  <c:v>6.91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D-4AE7-ACA9-32D01C255392}"/>
            </c:ext>
          </c:extLst>
        </c:ser>
        <c:ser>
          <c:idx val="1"/>
          <c:order val="1"/>
          <c:tx>
            <c:strRef>
              <c:f>[1]Sheet1!$D$1</c:f>
              <c:strCache>
                <c:ptCount val="1"/>
                <c:pt idx="0">
                  <c:v>Manual Analysis (Domanis)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[1]Sheet1!$B$2:$B$30</c:f>
              <c:strCache>
                <c:ptCount val="29"/>
                <c:pt idx="0">
                  <c:v>Cultural identity</c:v>
                </c:pt>
                <c:pt idx="1">
                  <c:v>Culture and caste identity</c:v>
                </c:pt>
                <c:pt idx="3">
                  <c:v>Violence and women rights</c:v>
                </c:pt>
                <c:pt idx="4">
                  <c:v>Violence and women dignity</c:v>
                </c:pt>
                <c:pt idx="6">
                  <c:v>Community development</c:v>
                </c:pt>
                <c:pt idx="7">
                  <c:v>SHG and community development</c:v>
                </c:pt>
                <c:pt idx="9">
                  <c:v>Entrepreneurship development</c:v>
                </c:pt>
                <c:pt idx="10">
                  <c:v>Challenges of women entrepreneurs</c:v>
                </c:pt>
                <c:pt idx="12">
                  <c:v>Girl child education</c:v>
                </c:pt>
                <c:pt idx="13">
                  <c:v>Family and girl child</c:v>
                </c:pt>
                <c:pt idx="15">
                  <c:v>Rural politics</c:v>
                </c:pt>
                <c:pt idx="16">
                  <c:v>Rural livelihoods</c:v>
                </c:pt>
                <c:pt idx="18">
                  <c:v>Health issues</c:v>
                </c:pt>
                <c:pt idx="19">
                  <c:v>Health concern</c:v>
                </c:pt>
                <c:pt idx="21">
                  <c:v>Work-life balance</c:v>
                </c:pt>
                <c:pt idx="22">
                  <c:v>Work-life balance</c:v>
                </c:pt>
                <c:pt idx="24">
                  <c:v>Educational factors</c:v>
                </c:pt>
                <c:pt idx="25">
                  <c:v>Educational drawbacks</c:v>
                </c:pt>
                <c:pt idx="27">
                  <c:v>Agriculture and rural income</c:v>
                </c:pt>
                <c:pt idx="28">
                  <c:v>Agriculture and labour challenges</c:v>
                </c:pt>
              </c:strCache>
            </c:strRef>
          </c:cat>
          <c:val>
            <c:numRef>
              <c:f>[1]Sheet1!$D$2:$D$30</c:f>
              <c:numCache>
                <c:formatCode>General</c:formatCode>
                <c:ptCount val="29"/>
                <c:pt idx="0">
                  <c:v>0</c:v>
                </c:pt>
                <c:pt idx="1">
                  <c:v>1.69</c:v>
                </c:pt>
                <c:pt idx="3">
                  <c:v>0</c:v>
                </c:pt>
                <c:pt idx="4">
                  <c:v>1.55</c:v>
                </c:pt>
                <c:pt idx="6">
                  <c:v>0</c:v>
                </c:pt>
                <c:pt idx="7">
                  <c:v>4.71</c:v>
                </c:pt>
                <c:pt idx="9">
                  <c:v>0</c:v>
                </c:pt>
                <c:pt idx="10">
                  <c:v>3.94</c:v>
                </c:pt>
                <c:pt idx="12">
                  <c:v>0</c:v>
                </c:pt>
                <c:pt idx="13">
                  <c:v>4.08</c:v>
                </c:pt>
                <c:pt idx="15">
                  <c:v>0</c:v>
                </c:pt>
                <c:pt idx="16">
                  <c:v>3.03</c:v>
                </c:pt>
                <c:pt idx="18">
                  <c:v>0</c:v>
                </c:pt>
                <c:pt idx="19">
                  <c:v>2.3199999999999998</c:v>
                </c:pt>
                <c:pt idx="21">
                  <c:v>0</c:v>
                </c:pt>
                <c:pt idx="22">
                  <c:v>5.77</c:v>
                </c:pt>
                <c:pt idx="24">
                  <c:v>0</c:v>
                </c:pt>
                <c:pt idx="25">
                  <c:v>10.34</c:v>
                </c:pt>
                <c:pt idx="27">
                  <c:v>0</c:v>
                </c:pt>
                <c:pt idx="28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D-4AE7-ACA9-32D01C255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864097104"/>
        <c:axId val="864097824"/>
      </c:barChart>
      <c:catAx>
        <c:axId val="8640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097824"/>
        <c:crosses val="autoZero"/>
        <c:auto val="1"/>
        <c:lblAlgn val="ctr"/>
        <c:lblOffset val="100"/>
        <c:noMultiLvlLbl val="0"/>
      </c:catAx>
      <c:valAx>
        <c:axId val="864097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Frequencies (%)</a:t>
                </a:r>
              </a:p>
            </c:rich>
          </c:tx>
          <c:layout>
            <c:manualLayout>
              <c:xMode val="edge"/>
              <c:yMode val="edge"/>
              <c:x val="2.3511405348220771E-2"/>
              <c:y val="0.24695704985472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3153984711394182"/>
          <c:y val="0.16681150726085114"/>
          <c:w val="0.24120438706917122"/>
          <c:h val="9.6647217616781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114301</xdr:colOff>
      <xdr:row>8</xdr:row>
      <xdr:rowOff>19050</xdr:rowOff>
    </xdr:from>
    <xdr:to>
      <xdr:col>19</xdr:col>
      <xdr:colOff>142875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1CCF5-B5EA-4832-8BBE-C9FC88521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nalysis_Comparison_Data.xlsx" TargetMode="External"/><Relationship Id="rId1" Type="http://schemas.openxmlformats.org/officeDocument/2006/relationships/externalLinkPath" Target="/Users/HP/Downloads/Analysis_Comparison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Machine-based Analysis</v>
          </cell>
          <cell r="D1" t="str">
            <v>Manual Analysis (Domanis)</v>
          </cell>
        </row>
        <row r="2">
          <cell r="B2" t="str">
            <v>Cultural identity</v>
          </cell>
          <cell r="C2">
            <v>15.61</v>
          </cell>
          <cell r="D2">
            <v>0</v>
          </cell>
        </row>
        <row r="3">
          <cell r="B3" t="str">
            <v>Culture and caste identity</v>
          </cell>
          <cell r="C3">
            <v>0</v>
          </cell>
          <cell r="D3">
            <v>1.69</v>
          </cell>
        </row>
        <row r="5">
          <cell r="B5" t="str">
            <v>Violence and women rights</v>
          </cell>
          <cell r="C5">
            <v>12.03</v>
          </cell>
          <cell r="D5">
            <v>0</v>
          </cell>
        </row>
        <row r="6">
          <cell r="B6" t="str">
            <v>Violence and women dignity</v>
          </cell>
          <cell r="C6">
            <v>0</v>
          </cell>
          <cell r="D6">
            <v>1.55</v>
          </cell>
        </row>
        <row r="8">
          <cell r="B8" t="str">
            <v>Community development</v>
          </cell>
          <cell r="C8">
            <v>11.76</v>
          </cell>
          <cell r="D8">
            <v>0</v>
          </cell>
        </row>
        <row r="9">
          <cell r="B9" t="str">
            <v>SHG and community development</v>
          </cell>
          <cell r="C9">
            <v>0</v>
          </cell>
          <cell r="D9">
            <v>4.71</v>
          </cell>
        </row>
        <row r="11">
          <cell r="B11" t="str">
            <v>Entrepreneurship development</v>
          </cell>
          <cell r="C11">
            <v>11.72</v>
          </cell>
          <cell r="D11">
            <v>0</v>
          </cell>
        </row>
        <row r="12">
          <cell r="B12" t="str">
            <v>Challenges of women entrepreneurs</v>
          </cell>
          <cell r="C12">
            <v>0</v>
          </cell>
          <cell r="D12">
            <v>3.94</v>
          </cell>
        </row>
        <row r="14">
          <cell r="B14" t="str">
            <v>Girl child education</v>
          </cell>
          <cell r="C14">
            <v>9.6999999999999993</v>
          </cell>
          <cell r="D14">
            <v>0</v>
          </cell>
        </row>
        <row r="15">
          <cell r="B15" t="str">
            <v>Family and girl child</v>
          </cell>
          <cell r="C15">
            <v>0</v>
          </cell>
          <cell r="D15">
            <v>4.08</v>
          </cell>
        </row>
        <row r="17">
          <cell r="B17" t="str">
            <v>Rural politics</v>
          </cell>
          <cell r="C17">
            <v>9.48</v>
          </cell>
          <cell r="D17">
            <v>0</v>
          </cell>
        </row>
        <row r="18">
          <cell r="B18" t="str">
            <v>Rural livelihoods</v>
          </cell>
          <cell r="C18">
            <v>0</v>
          </cell>
          <cell r="D18">
            <v>3.03</v>
          </cell>
        </row>
        <row r="20">
          <cell r="B20" t="str">
            <v>Health issues</v>
          </cell>
          <cell r="C20">
            <v>8.18</v>
          </cell>
          <cell r="D20">
            <v>0</v>
          </cell>
        </row>
        <row r="21">
          <cell r="B21" t="str">
            <v>Health concern</v>
          </cell>
          <cell r="C21">
            <v>0</v>
          </cell>
          <cell r="D21">
            <v>2.3199999999999998</v>
          </cell>
        </row>
        <row r="23">
          <cell r="B23" t="str">
            <v>Work-life balance</v>
          </cell>
          <cell r="C23">
            <v>7.55</v>
          </cell>
          <cell r="D23">
            <v>0</v>
          </cell>
        </row>
        <row r="24">
          <cell r="B24" t="str">
            <v>Work-life balance</v>
          </cell>
          <cell r="C24">
            <v>0</v>
          </cell>
          <cell r="D24">
            <v>5.77</v>
          </cell>
        </row>
        <row r="26">
          <cell r="B26" t="str">
            <v>Educational factors</v>
          </cell>
          <cell r="C26">
            <v>7.06</v>
          </cell>
          <cell r="D26">
            <v>0</v>
          </cell>
        </row>
        <row r="27">
          <cell r="B27" t="str">
            <v>Educational drawbacks</v>
          </cell>
          <cell r="C27">
            <v>0</v>
          </cell>
          <cell r="D27">
            <v>10.34</v>
          </cell>
        </row>
        <row r="29">
          <cell r="B29" t="str">
            <v>Agriculture and rural income</v>
          </cell>
          <cell r="C29">
            <v>6.91</v>
          </cell>
          <cell r="D29">
            <v>0</v>
          </cell>
        </row>
        <row r="30">
          <cell r="B30" t="str">
            <v>Agriculture and labour challenges</v>
          </cell>
          <cell r="C30">
            <v>0</v>
          </cell>
          <cell r="D30">
            <v>3.24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64AC9-9295-427F-A5B5-6D631A30D9FF}" name="Table2" displayName="Table2" ref="A1:D62" totalsRowShown="0" headerRowDxfId="5" dataDxfId="4">
  <autoFilter ref="A1:D62" xr:uid="{01564AC9-9295-427F-A5B5-6D631A30D9FF}"/>
  <tableColumns count="4">
    <tableColumn id="1" xr3:uid="{240844A2-2F0C-467B-9D05-C4A80127D700}" name="Domains" dataDxfId="3"/>
    <tableColumn id="2" xr3:uid="{D7FE4E50-3405-4491-B195-ABB8713D2EDD}" name="Sub-domains" dataDxfId="2"/>
    <tableColumn id="3" xr3:uid="{BB39327E-A531-4467-90BB-E8DEF58E0EF7}" name="Domain frequency _x000a_(%)" dataDxfId="1"/>
    <tableColumn id="4" xr3:uid="{C36448F4-E7EE-48AD-91FE-1336C4537657}" name="Sub-domain frequency_x000a_(%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CFF7-AC17-49B1-81CC-20133BE3B725}">
  <dimension ref="A1:F62"/>
  <sheetViews>
    <sheetView workbookViewId="0">
      <selection activeCell="E62" sqref="E62"/>
    </sheetView>
  </sheetViews>
  <sheetFormatPr defaultRowHeight="15" x14ac:dyDescent="0.25"/>
  <cols>
    <col min="1" max="1" width="31" style="1" customWidth="1"/>
    <col min="2" max="2" width="36.5703125" style="1" customWidth="1"/>
    <col min="3" max="4" width="19.5703125" style="1" customWidth="1"/>
    <col min="5" max="5" width="13.5703125" style="1" customWidth="1"/>
    <col min="6" max="16384" width="9.140625" style="1"/>
  </cols>
  <sheetData>
    <row r="1" spans="1:6" s="4" customFormat="1" ht="39.75" customHeight="1" x14ac:dyDescent="0.25">
      <c r="A1" s="2" t="s">
        <v>81</v>
      </c>
      <c r="B1" s="2" t="s">
        <v>80</v>
      </c>
      <c r="C1" s="3" t="s">
        <v>82</v>
      </c>
      <c r="D1" s="3"/>
      <c r="E1" s="3" t="s">
        <v>83</v>
      </c>
    </row>
    <row r="2" spans="1:6" x14ac:dyDescent="0.25">
      <c r="A2" s="5" t="s">
        <v>56</v>
      </c>
      <c r="B2" s="6" t="s">
        <v>41</v>
      </c>
      <c r="C2" s="5">
        <v>147</v>
      </c>
      <c r="D2" s="9">
        <v>10.344827586206897</v>
      </c>
      <c r="E2" s="5">
        <v>70</v>
      </c>
      <c r="F2" s="8">
        <v>4.9261083743842367</v>
      </c>
    </row>
    <row r="3" spans="1:6" x14ac:dyDescent="0.25">
      <c r="A3" s="7"/>
      <c r="B3" s="6" t="s">
        <v>6</v>
      </c>
      <c r="C3" s="7"/>
      <c r="D3" s="9">
        <v>0</v>
      </c>
      <c r="E3" s="5">
        <v>36</v>
      </c>
      <c r="F3" s="8">
        <v>2.5334271639690358</v>
      </c>
    </row>
    <row r="4" spans="1:6" x14ac:dyDescent="0.25">
      <c r="A4" s="7"/>
      <c r="B4" s="6" t="s">
        <v>15</v>
      </c>
      <c r="C4" s="7"/>
      <c r="D4" s="9">
        <v>0</v>
      </c>
      <c r="E4" s="5">
        <v>41</v>
      </c>
      <c r="F4" s="8">
        <v>2.8852920478536244</v>
      </c>
    </row>
    <row r="5" spans="1:6" x14ac:dyDescent="0.25">
      <c r="A5" s="5" t="s">
        <v>78</v>
      </c>
      <c r="B5" s="6" t="s">
        <v>79</v>
      </c>
      <c r="C5" s="5">
        <v>109</v>
      </c>
      <c r="D5" s="9">
        <v>7.6706544686840257</v>
      </c>
      <c r="E5" s="5">
        <v>16</v>
      </c>
      <c r="F5" s="8">
        <v>1.1259676284306825</v>
      </c>
    </row>
    <row r="6" spans="1:6" x14ac:dyDescent="0.25">
      <c r="A6" s="7"/>
      <c r="B6" s="6" t="s">
        <v>69</v>
      </c>
      <c r="C6" s="7"/>
      <c r="D6" s="9">
        <v>0</v>
      </c>
      <c r="E6" s="5">
        <v>93</v>
      </c>
      <c r="F6" s="8">
        <v>6.5446868402533429</v>
      </c>
    </row>
    <row r="7" spans="1:6" x14ac:dyDescent="0.25">
      <c r="A7" s="5" t="s">
        <v>33</v>
      </c>
      <c r="B7" s="6" t="s">
        <v>49</v>
      </c>
      <c r="C7" s="5">
        <v>94</v>
      </c>
      <c r="D7" s="9">
        <v>6.6150598170302608</v>
      </c>
      <c r="E7" s="5">
        <v>75</v>
      </c>
      <c r="F7" s="8">
        <v>5.2779732582688244</v>
      </c>
    </row>
    <row r="8" spans="1:6" x14ac:dyDescent="0.25">
      <c r="A8" s="7"/>
      <c r="B8" s="6" t="s">
        <v>33</v>
      </c>
      <c r="C8" s="7"/>
      <c r="D8" s="9">
        <v>0</v>
      </c>
      <c r="E8" s="5">
        <v>19</v>
      </c>
      <c r="F8" s="8">
        <v>1.3370865587614356</v>
      </c>
    </row>
    <row r="9" spans="1:6" x14ac:dyDescent="0.25">
      <c r="A9" s="5" t="s">
        <v>14</v>
      </c>
      <c r="B9" s="6" t="s">
        <v>18</v>
      </c>
      <c r="C9" s="5">
        <v>82</v>
      </c>
      <c r="D9" s="9">
        <v>5.7705840957072487</v>
      </c>
      <c r="E9" s="5">
        <v>30</v>
      </c>
      <c r="F9" s="8">
        <v>2.1111893033075297</v>
      </c>
    </row>
    <row r="10" spans="1:6" x14ac:dyDescent="0.25">
      <c r="A10" s="7"/>
      <c r="B10" s="6" t="s">
        <v>70</v>
      </c>
      <c r="C10" s="7"/>
      <c r="D10" s="9">
        <v>0</v>
      </c>
      <c r="E10" s="5">
        <v>29</v>
      </c>
      <c r="F10" s="8">
        <v>2.0408163265306123</v>
      </c>
    </row>
    <row r="11" spans="1:6" x14ac:dyDescent="0.25">
      <c r="A11" s="7"/>
      <c r="B11" s="6" t="s">
        <v>1</v>
      </c>
      <c r="C11" s="7"/>
      <c r="D11" s="9">
        <v>0</v>
      </c>
      <c r="E11" s="5">
        <v>23</v>
      </c>
      <c r="F11" s="8">
        <v>1.6185784658691063</v>
      </c>
    </row>
    <row r="12" spans="1:6" x14ac:dyDescent="0.25">
      <c r="A12" s="5" t="s">
        <v>65</v>
      </c>
      <c r="B12" s="6" t="s">
        <v>57</v>
      </c>
      <c r="C12" s="5">
        <v>79</v>
      </c>
      <c r="D12" s="9">
        <v>5.559465165376495</v>
      </c>
      <c r="E12" s="5">
        <v>53</v>
      </c>
      <c r="F12" s="8">
        <v>3.729767769176636</v>
      </c>
    </row>
    <row r="13" spans="1:6" x14ac:dyDescent="0.25">
      <c r="A13" s="7"/>
      <c r="B13" s="6" t="s">
        <v>16</v>
      </c>
      <c r="C13" s="7"/>
      <c r="D13" s="9">
        <v>0</v>
      </c>
      <c r="E13" s="5">
        <v>26</v>
      </c>
      <c r="F13" s="8">
        <v>1.8296973961998593</v>
      </c>
    </row>
    <row r="14" spans="1:6" x14ac:dyDescent="0.25">
      <c r="A14" s="5" t="s">
        <v>51</v>
      </c>
      <c r="B14" s="5"/>
      <c r="C14" s="5">
        <v>72</v>
      </c>
      <c r="D14" s="9">
        <v>5.0668543279380716</v>
      </c>
      <c r="E14" s="5">
        <v>72</v>
      </c>
      <c r="F14" s="8">
        <v>5.0668543279380716</v>
      </c>
    </row>
    <row r="15" spans="1:6" x14ac:dyDescent="0.25">
      <c r="A15" s="5" t="s">
        <v>59</v>
      </c>
      <c r="B15" s="6" t="s">
        <v>34</v>
      </c>
      <c r="C15" s="5">
        <v>67</v>
      </c>
      <c r="D15" s="9">
        <v>4.7149894440534839</v>
      </c>
      <c r="E15" s="5">
        <v>8</v>
      </c>
      <c r="F15" s="8">
        <v>0.56298381421534127</v>
      </c>
    </row>
    <row r="16" spans="1:6" x14ac:dyDescent="0.25">
      <c r="A16" s="7"/>
      <c r="B16" s="6" t="s">
        <v>74</v>
      </c>
      <c r="C16" s="7"/>
      <c r="D16" s="9">
        <v>0</v>
      </c>
      <c r="E16" s="5">
        <v>59</v>
      </c>
      <c r="F16" s="8">
        <v>4.1520056298381425</v>
      </c>
    </row>
    <row r="17" spans="1:6" x14ac:dyDescent="0.25">
      <c r="A17" s="5" t="s">
        <v>40</v>
      </c>
      <c r="B17" s="6" t="s">
        <v>48</v>
      </c>
      <c r="C17" s="5">
        <v>58</v>
      </c>
      <c r="D17" s="9">
        <v>4.0816326530612246</v>
      </c>
      <c r="E17" s="5">
        <v>56</v>
      </c>
      <c r="F17" s="8">
        <v>3.9408866995073892</v>
      </c>
    </row>
    <row r="18" spans="1:6" x14ac:dyDescent="0.25">
      <c r="A18" s="7"/>
      <c r="B18" s="6" t="s">
        <v>39</v>
      </c>
      <c r="C18" s="7"/>
      <c r="D18" s="9">
        <v>0</v>
      </c>
      <c r="E18" s="5">
        <v>2</v>
      </c>
      <c r="F18" s="8">
        <v>0.14074595355383532</v>
      </c>
    </row>
    <row r="19" spans="1:6" x14ac:dyDescent="0.25">
      <c r="A19" s="5" t="s">
        <v>63</v>
      </c>
      <c r="B19" s="6" t="s">
        <v>4</v>
      </c>
      <c r="C19" s="5">
        <v>56</v>
      </c>
      <c r="D19" s="9">
        <v>3.9408866995073892</v>
      </c>
      <c r="E19" s="5">
        <v>56</v>
      </c>
      <c r="F19" s="8">
        <v>3.9408866995073892</v>
      </c>
    </row>
    <row r="20" spans="1:6" x14ac:dyDescent="0.25">
      <c r="A20" s="5" t="s">
        <v>42</v>
      </c>
      <c r="B20" s="6" t="s">
        <v>5</v>
      </c>
      <c r="C20" s="5">
        <v>50</v>
      </c>
      <c r="D20" s="9">
        <v>3.5186488388458828</v>
      </c>
      <c r="E20" s="5">
        <v>15</v>
      </c>
      <c r="F20" s="8">
        <v>1.0555946516537649</v>
      </c>
    </row>
    <row r="21" spans="1:6" x14ac:dyDescent="0.25">
      <c r="A21" s="7"/>
      <c r="B21" s="6" t="s">
        <v>54</v>
      </c>
      <c r="C21" s="7"/>
      <c r="D21" s="9">
        <v>0</v>
      </c>
      <c r="E21" s="5">
        <v>3</v>
      </c>
      <c r="F21" s="8">
        <v>0.21111893033075299</v>
      </c>
    </row>
    <row r="22" spans="1:6" x14ac:dyDescent="0.25">
      <c r="A22" s="7"/>
      <c r="B22" s="6" t="s">
        <v>76</v>
      </c>
      <c r="C22" s="7"/>
      <c r="D22" s="9">
        <v>0</v>
      </c>
      <c r="E22" s="5">
        <v>32</v>
      </c>
      <c r="F22" s="8">
        <v>2.2519352568613651</v>
      </c>
    </row>
    <row r="23" spans="1:6" x14ac:dyDescent="0.25">
      <c r="A23" s="5" t="s">
        <v>62</v>
      </c>
      <c r="B23" s="6" t="s">
        <v>75</v>
      </c>
      <c r="C23" s="5">
        <v>48</v>
      </c>
      <c r="D23" s="9">
        <v>3.3779028852920479</v>
      </c>
      <c r="E23" s="5">
        <v>15</v>
      </c>
      <c r="F23" s="8">
        <v>1.0555946516537649</v>
      </c>
    </row>
    <row r="24" spans="1:6" x14ac:dyDescent="0.25">
      <c r="A24" s="7"/>
      <c r="B24" s="6" t="s">
        <v>9</v>
      </c>
      <c r="C24" s="7"/>
      <c r="D24" s="9">
        <v>0</v>
      </c>
      <c r="E24" s="5">
        <v>4</v>
      </c>
      <c r="F24" s="8">
        <v>0.28149190710767064</v>
      </c>
    </row>
    <row r="25" spans="1:6" x14ac:dyDescent="0.25">
      <c r="A25" s="7"/>
      <c r="B25" s="6" t="s">
        <v>2</v>
      </c>
      <c r="C25" s="7"/>
      <c r="D25" s="9">
        <v>0</v>
      </c>
      <c r="E25" s="5">
        <v>29</v>
      </c>
      <c r="F25" s="8">
        <v>2.0408163265306123</v>
      </c>
    </row>
    <row r="26" spans="1:6" x14ac:dyDescent="0.25">
      <c r="A26" s="5" t="s">
        <v>0</v>
      </c>
      <c r="B26" s="5"/>
      <c r="C26" s="5">
        <v>47</v>
      </c>
      <c r="D26" s="9">
        <v>3.3075299085151304</v>
      </c>
      <c r="E26" s="5">
        <v>47</v>
      </c>
      <c r="F26" s="8">
        <v>3.3075299085151304</v>
      </c>
    </row>
    <row r="27" spans="1:6" x14ac:dyDescent="0.25">
      <c r="A27" s="5" t="s">
        <v>36</v>
      </c>
      <c r="B27" s="6" t="s">
        <v>21</v>
      </c>
      <c r="C27" s="5">
        <v>46</v>
      </c>
      <c r="D27" s="9">
        <v>3.2371569317382125</v>
      </c>
      <c r="E27" s="5">
        <v>37</v>
      </c>
      <c r="F27" s="8">
        <v>2.6038001407459537</v>
      </c>
    </row>
    <row r="28" spans="1:6" x14ac:dyDescent="0.25">
      <c r="A28" s="7"/>
      <c r="B28" s="6" t="s">
        <v>45</v>
      </c>
      <c r="C28" s="7"/>
      <c r="D28" s="9">
        <v>0</v>
      </c>
      <c r="E28" s="5">
        <v>9</v>
      </c>
      <c r="F28" s="8">
        <v>0.63335679099225894</v>
      </c>
    </row>
    <row r="29" spans="1:6" x14ac:dyDescent="0.25">
      <c r="A29" s="5" t="s">
        <v>22</v>
      </c>
      <c r="B29" s="5"/>
      <c r="C29" s="5">
        <v>43</v>
      </c>
      <c r="D29" s="9">
        <v>3.0260380014074597</v>
      </c>
      <c r="E29" s="5">
        <v>43</v>
      </c>
      <c r="F29" s="8">
        <v>3.0260380014074597</v>
      </c>
    </row>
    <row r="30" spans="1:6" x14ac:dyDescent="0.25">
      <c r="A30" s="5" t="s">
        <v>10</v>
      </c>
      <c r="B30" s="6" t="s">
        <v>55</v>
      </c>
      <c r="C30" s="5">
        <v>39</v>
      </c>
      <c r="D30" s="9">
        <v>2.744546094299789</v>
      </c>
      <c r="E30" s="5">
        <v>21</v>
      </c>
      <c r="F30" s="8">
        <v>1.4778325123152709</v>
      </c>
    </row>
    <row r="31" spans="1:6" x14ac:dyDescent="0.25">
      <c r="A31" s="7"/>
      <c r="B31" s="6" t="s">
        <v>53</v>
      </c>
      <c r="C31" s="7"/>
      <c r="D31" s="9">
        <v>0</v>
      </c>
      <c r="E31" s="5">
        <v>18</v>
      </c>
      <c r="F31" s="8">
        <v>1.2667135819845179</v>
      </c>
    </row>
    <row r="32" spans="1:6" x14ac:dyDescent="0.25">
      <c r="A32" s="5" t="s">
        <v>31</v>
      </c>
      <c r="B32" s="6" t="s">
        <v>13</v>
      </c>
      <c r="C32" s="5">
        <v>38</v>
      </c>
      <c r="D32" s="9">
        <v>2.6741731175228711</v>
      </c>
      <c r="E32" s="5">
        <v>24</v>
      </c>
      <c r="F32" s="8">
        <v>1.6889514426460239</v>
      </c>
    </row>
    <row r="33" spans="1:6" x14ac:dyDescent="0.25">
      <c r="A33" s="7"/>
      <c r="B33" s="6" t="s">
        <v>25</v>
      </c>
      <c r="C33" s="7"/>
      <c r="D33" s="9">
        <v>0</v>
      </c>
      <c r="E33" s="5">
        <v>14</v>
      </c>
      <c r="F33" s="8">
        <v>0.98522167487684731</v>
      </c>
    </row>
    <row r="34" spans="1:6" x14ac:dyDescent="0.25">
      <c r="A34" s="5" t="s">
        <v>24</v>
      </c>
      <c r="B34" s="6" t="s">
        <v>17</v>
      </c>
      <c r="C34" s="5">
        <v>33</v>
      </c>
      <c r="D34" s="9">
        <v>2.322308233638283</v>
      </c>
      <c r="E34" s="5">
        <v>16</v>
      </c>
      <c r="F34" s="8">
        <v>1.1259676284306825</v>
      </c>
    </row>
    <row r="35" spans="1:6" x14ac:dyDescent="0.25">
      <c r="A35" s="7"/>
      <c r="B35" s="6" t="s">
        <v>43</v>
      </c>
      <c r="C35" s="7"/>
      <c r="D35" s="9">
        <v>0</v>
      </c>
      <c r="E35" s="5">
        <v>17</v>
      </c>
      <c r="F35" s="8">
        <v>1.1963406052076002</v>
      </c>
    </row>
    <row r="36" spans="1:6" x14ac:dyDescent="0.25">
      <c r="A36" s="5" t="s">
        <v>27</v>
      </c>
      <c r="B36" s="6" t="s">
        <v>68</v>
      </c>
      <c r="C36" s="5">
        <v>31</v>
      </c>
      <c r="D36" s="9">
        <v>2.1815622800844476</v>
      </c>
      <c r="E36" s="5">
        <v>13</v>
      </c>
      <c r="F36" s="8">
        <v>0.91484869809992964</v>
      </c>
    </row>
    <row r="37" spans="1:6" x14ac:dyDescent="0.25">
      <c r="A37" s="7"/>
      <c r="B37" s="6" t="s">
        <v>44</v>
      </c>
      <c r="C37" s="7"/>
      <c r="D37" s="9">
        <v>0</v>
      </c>
      <c r="E37" s="5">
        <v>14</v>
      </c>
      <c r="F37" s="8">
        <v>0.98522167487684731</v>
      </c>
    </row>
    <row r="38" spans="1:6" x14ac:dyDescent="0.25">
      <c r="A38" s="7"/>
      <c r="B38" s="6" t="s">
        <v>11</v>
      </c>
      <c r="C38" s="7"/>
      <c r="D38" s="9">
        <v>0</v>
      </c>
      <c r="E38" s="5">
        <v>4</v>
      </c>
      <c r="F38" s="8">
        <v>0.28149190710767064</v>
      </c>
    </row>
    <row r="39" spans="1:6" x14ac:dyDescent="0.25">
      <c r="A39" s="5" t="s">
        <v>52</v>
      </c>
      <c r="B39" s="6" t="s">
        <v>58</v>
      </c>
      <c r="C39" s="5">
        <v>27</v>
      </c>
      <c r="D39" s="9">
        <v>1.9000703729767767</v>
      </c>
      <c r="E39" s="5">
        <v>20</v>
      </c>
      <c r="F39" s="8">
        <v>1.4074595355383532</v>
      </c>
    </row>
    <row r="40" spans="1:6" x14ac:dyDescent="0.25">
      <c r="A40" s="7"/>
      <c r="B40" s="6" t="s">
        <v>19</v>
      </c>
      <c r="C40" s="7"/>
      <c r="D40" s="9">
        <v>0</v>
      </c>
      <c r="E40" s="5">
        <v>7</v>
      </c>
      <c r="F40" s="8">
        <v>0.49261083743842365</v>
      </c>
    </row>
    <row r="41" spans="1:6" x14ac:dyDescent="0.25">
      <c r="A41" s="5" t="s">
        <v>32</v>
      </c>
      <c r="B41" s="5"/>
      <c r="C41" s="5">
        <v>27</v>
      </c>
      <c r="D41" s="9">
        <v>1.9000703729767767</v>
      </c>
      <c r="E41" s="5">
        <v>27</v>
      </c>
      <c r="F41" s="8">
        <v>1.9000703729767767</v>
      </c>
    </row>
    <row r="42" spans="1:6" x14ac:dyDescent="0.25">
      <c r="A42" s="5" t="s">
        <v>60</v>
      </c>
      <c r="B42" s="6" t="s">
        <v>23</v>
      </c>
      <c r="C42" s="5">
        <v>25</v>
      </c>
      <c r="D42" s="9">
        <v>1.7593244194229414</v>
      </c>
      <c r="E42" s="5">
        <v>23</v>
      </c>
      <c r="F42" s="8">
        <v>1.6185784658691063</v>
      </c>
    </row>
    <row r="43" spans="1:6" x14ac:dyDescent="0.25">
      <c r="A43" s="7"/>
      <c r="B43" s="6" t="s">
        <v>64</v>
      </c>
      <c r="C43" s="7"/>
      <c r="D43" s="9">
        <v>0</v>
      </c>
      <c r="E43" s="5">
        <v>2</v>
      </c>
      <c r="F43" s="8">
        <v>0.14074595355383532</v>
      </c>
    </row>
    <row r="44" spans="1:6" x14ac:dyDescent="0.25">
      <c r="A44" s="5" t="s">
        <v>71</v>
      </c>
      <c r="B44" s="5"/>
      <c r="C44" s="5">
        <v>24</v>
      </c>
      <c r="D44" s="9">
        <v>1.6889514426460239</v>
      </c>
      <c r="E44" s="5">
        <v>24</v>
      </c>
      <c r="F44" s="8">
        <v>1.6889514426460239</v>
      </c>
    </row>
    <row r="45" spans="1:6" x14ac:dyDescent="0.25">
      <c r="A45" s="5" t="s">
        <v>35</v>
      </c>
      <c r="B45" s="5"/>
      <c r="C45" s="5">
        <v>22</v>
      </c>
      <c r="D45" s="9">
        <v>1.5482054890921886</v>
      </c>
      <c r="E45" s="5">
        <v>22</v>
      </c>
      <c r="F45" s="8">
        <v>1.5482054890921886</v>
      </c>
    </row>
    <row r="46" spans="1:6" x14ac:dyDescent="0.25">
      <c r="A46" s="5" t="s">
        <v>66</v>
      </c>
      <c r="B46" s="5"/>
      <c r="C46" s="5">
        <v>22</v>
      </c>
      <c r="D46" s="9">
        <v>1.5482054890921886</v>
      </c>
      <c r="E46" s="5">
        <v>22</v>
      </c>
      <c r="F46" s="8">
        <v>1.5482054890921886</v>
      </c>
    </row>
    <row r="47" spans="1:6" x14ac:dyDescent="0.25">
      <c r="A47" s="5" t="s">
        <v>7</v>
      </c>
      <c r="B47" s="6" t="s">
        <v>50</v>
      </c>
      <c r="C47" s="5">
        <v>22</v>
      </c>
      <c r="D47" s="9">
        <v>1.5482054890921886</v>
      </c>
      <c r="E47" s="5">
        <v>17</v>
      </c>
      <c r="F47" s="8">
        <v>1.1963406052076002</v>
      </c>
    </row>
    <row r="48" spans="1:6" x14ac:dyDescent="0.25">
      <c r="A48" s="7"/>
      <c r="B48" s="6" t="s">
        <v>61</v>
      </c>
      <c r="C48" s="7"/>
      <c r="D48" s="9">
        <v>0</v>
      </c>
      <c r="E48" s="5">
        <v>5</v>
      </c>
      <c r="F48" s="8">
        <v>0.35186488388458831</v>
      </c>
    </row>
    <row r="49" spans="1:6" x14ac:dyDescent="0.25">
      <c r="A49" s="5" t="s">
        <v>77</v>
      </c>
      <c r="B49" s="5"/>
      <c r="C49" s="5">
        <v>20</v>
      </c>
      <c r="D49" s="9">
        <v>1.4074595355383532</v>
      </c>
      <c r="E49" s="5">
        <v>20</v>
      </c>
      <c r="F49" s="8">
        <v>1.4074595355383532</v>
      </c>
    </row>
    <row r="50" spans="1:6" x14ac:dyDescent="0.25">
      <c r="A50" s="5" t="s">
        <v>28</v>
      </c>
      <c r="B50" s="6" t="s">
        <v>67</v>
      </c>
      <c r="C50" s="5">
        <v>20</v>
      </c>
      <c r="D50" s="9">
        <v>1.4074595355383532</v>
      </c>
      <c r="E50" s="5">
        <v>6</v>
      </c>
      <c r="F50" s="8">
        <v>0.42223786066150598</v>
      </c>
    </row>
    <row r="51" spans="1:6" x14ac:dyDescent="0.25">
      <c r="A51" s="7"/>
      <c r="B51" s="6" t="s">
        <v>26</v>
      </c>
      <c r="C51" s="7"/>
      <c r="D51" s="9">
        <v>0</v>
      </c>
      <c r="E51" s="5">
        <v>14</v>
      </c>
      <c r="F51" s="8">
        <v>0.98522167487684731</v>
      </c>
    </row>
    <row r="52" spans="1:6" x14ac:dyDescent="0.25">
      <c r="A52" s="5" t="s">
        <v>72</v>
      </c>
      <c r="B52" s="6" t="s">
        <v>30</v>
      </c>
      <c r="C52" s="5">
        <v>16</v>
      </c>
      <c r="D52" s="9">
        <v>1.1259676284306825</v>
      </c>
      <c r="E52" s="5">
        <v>7</v>
      </c>
      <c r="F52" s="8">
        <v>0.49261083743842365</v>
      </c>
    </row>
    <row r="53" spans="1:6" x14ac:dyDescent="0.25">
      <c r="A53" s="7"/>
      <c r="B53" s="6" t="s">
        <v>20</v>
      </c>
      <c r="C53" s="7"/>
      <c r="D53" s="9">
        <v>0</v>
      </c>
      <c r="E53" s="5">
        <v>9</v>
      </c>
      <c r="F53" s="8">
        <v>0.63335679099225894</v>
      </c>
    </row>
    <row r="54" spans="1:6" x14ac:dyDescent="0.25">
      <c r="A54" s="5" t="s">
        <v>46</v>
      </c>
      <c r="B54" s="6" t="s">
        <v>38</v>
      </c>
      <c r="C54" s="5">
        <v>14</v>
      </c>
      <c r="D54" s="9">
        <v>0.98522167487684731</v>
      </c>
      <c r="E54" s="5">
        <v>5</v>
      </c>
      <c r="F54" s="8">
        <v>0.35186488388458831</v>
      </c>
    </row>
    <row r="55" spans="1:6" x14ac:dyDescent="0.25">
      <c r="A55" s="7"/>
      <c r="B55" s="6" t="s">
        <v>8</v>
      </c>
      <c r="C55" s="7"/>
      <c r="D55" s="9">
        <v>0</v>
      </c>
      <c r="E55" s="5">
        <v>9</v>
      </c>
      <c r="F55" s="8">
        <v>0.63335679099225894</v>
      </c>
    </row>
    <row r="56" spans="1:6" x14ac:dyDescent="0.25">
      <c r="A56" s="5" t="s">
        <v>37</v>
      </c>
      <c r="B56" s="5"/>
      <c r="C56" s="5">
        <v>11</v>
      </c>
      <c r="D56" s="9">
        <v>0.77410274454609429</v>
      </c>
      <c r="E56" s="5">
        <v>11</v>
      </c>
      <c r="F56" s="8">
        <v>0.77410274454609429</v>
      </c>
    </row>
    <row r="57" spans="1:6" x14ac:dyDescent="0.25">
      <c r="A57" s="5" t="s">
        <v>73</v>
      </c>
      <c r="B57" s="5"/>
      <c r="C57" s="5">
        <v>10</v>
      </c>
      <c r="D57" s="9">
        <v>0.70372976776917662</v>
      </c>
      <c r="E57" s="5">
        <v>10</v>
      </c>
      <c r="F57" s="8">
        <v>0.70372976776917662</v>
      </c>
    </row>
    <row r="58" spans="1:6" x14ac:dyDescent="0.25">
      <c r="A58" s="5" t="s">
        <v>3</v>
      </c>
      <c r="B58" s="5"/>
      <c r="C58" s="5">
        <v>6</v>
      </c>
      <c r="D58" s="9">
        <v>0.42223786066150598</v>
      </c>
      <c r="E58" s="5">
        <v>6</v>
      </c>
      <c r="F58" s="8">
        <v>0.42223786066150598</v>
      </c>
    </row>
    <row r="59" spans="1:6" x14ac:dyDescent="0.25">
      <c r="A59" s="5" t="s">
        <v>29</v>
      </c>
      <c r="B59" s="5"/>
      <c r="C59" s="5">
        <v>6</v>
      </c>
      <c r="D59" s="9">
        <v>0.42223786066150598</v>
      </c>
      <c r="E59" s="5">
        <v>6</v>
      </c>
      <c r="F59" s="8">
        <v>0.42223786066150598</v>
      </c>
    </row>
    <row r="60" spans="1:6" x14ac:dyDescent="0.25">
      <c r="A60" s="5" t="s">
        <v>47</v>
      </c>
      <c r="B60" s="5"/>
      <c r="C60" s="5">
        <v>6</v>
      </c>
      <c r="D60" s="9">
        <v>0.42223786066150598</v>
      </c>
      <c r="E60" s="5">
        <v>6</v>
      </c>
      <c r="F60" s="8">
        <v>0.42223786066150598</v>
      </c>
    </row>
    <row r="61" spans="1:6" x14ac:dyDescent="0.25">
      <c r="A61" s="5" t="s">
        <v>12</v>
      </c>
      <c r="B61" s="5"/>
      <c r="C61" s="5">
        <v>4</v>
      </c>
      <c r="D61" s="9">
        <v>0.28149190710767064</v>
      </c>
      <c r="E61" s="5">
        <v>4</v>
      </c>
      <c r="F61" s="8">
        <v>0.28149190710767064</v>
      </c>
    </row>
    <row r="62" spans="1:6" x14ac:dyDescent="0.25">
      <c r="A62" s="7"/>
      <c r="B62" s="7"/>
      <c r="C62" s="7">
        <f>SUM(C2:C61)</f>
        <v>1421</v>
      </c>
      <c r="D62" s="9">
        <v>100</v>
      </c>
      <c r="E62" s="7">
        <f>SUM(E2:E61)</f>
        <v>1421</v>
      </c>
      <c r="F62" s="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2BE1-4BDC-4092-BC78-285C567C9D4A}">
  <dimension ref="A1:D62"/>
  <sheetViews>
    <sheetView workbookViewId="0">
      <selection activeCell="B2" sqref="A2:D62"/>
    </sheetView>
  </sheetViews>
  <sheetFormatPr defaultRowHeight="15" x14ac:dyDescent="0.25"/>
  <cols>
    <col min="1" max="1" width="30.5703125" style="1" customWidth="1"/>
    <col min="2" max="2" width="35" style="1" customWidth="1"/>
    <col min="3" max="3" width="17.140625" style="1" customWidth="1"/>
    <col min="4" max="4" width="14.140625" style="1" customWidth="1"/>
    <col min="5" max="16384" width="9.140625" style="1"/>
  </cols>
  <sheetData>
    <row r="1" spans="1:4" s="11" customFormat="1" ht="52.5" customHeight="1" x14ac:dyDescent="0.25">
      <c r="A1" s="10" t="s">
        <v>81</v>
      </c>
      <c r="B1" s="10" t="s">
        <v>80</v>
      </c>
      <c r="C1" s="10" t="s">
        <v>82</v>
      </c>
      <c r="D1" s="10" t="s">
        <v>83</v>
      </c>
    </row>
    <row r="2" spans="1:4" x14ac:dyDescent="0.25">
      <c r="A2" s="1" t="s">
        <v>56</v>
      </c>
      <c r="B2" s="1" t="s">
        <v>41</v>
      </c>
      <c r="C2" s="1" t="s">
        <v>84</v>
      </c>
      <c r="D2" s="1" t="s">
        <v>114</v>
      </c>
    </row>
    <row r="3" spans="1:4" x14ac:dyDescent="0.25">
      <c r="B3" s="1" t="s">
        <v>6</v>
      </c>
      <c r="D3" s="1" t="s">
        <v>115</v>
      </c>
    </row>
    <row r="4" spans="1:4" x14ac:dyDescent="0.25">
      <c r="B4" s="1" t="s">
        <v>15</v>
      </c>
      <c r="D4" s="1" t="s">
        <v>116</v>
      </c>
    </row>
    <row r="5" spans="1:4" x14ac:dyDescent="0.25">
      <c r="A5" s="1" t="s">
        <v>78</v>
      </c>
      <c r="B5" s="1" t="s">
        <v>79</v>
      </c>
      <c r="C5" s="1" t="s">
        <v>85</v>
      </c>
      <c r="D5" s="1" t="s">
        <v>107</v>
      </c>
    </row>
    <row r="6" spans="1:4" x14ac:dyDescent="0.25">
      <c r="B6" s="1" t="s">
        <v>69</v>
      </c>
      <c r="D6" s="1" t="s">
        <v>117</v>
      </c>
    </row>
    <row r="7" spans="1:4" x14ac:dyDescent="0.25">
      <c r="A7" s="1" t="s">
        <v>33</v>
      </c>
      <c r="B7" s="1" t="s">
        <v>49</v>
      </c>
      <c r="C7" s="1" t="s">
        <v>86</v>
      </c>
      <c r="D7" s="1" t="s">
        <v>118</v>
      </c>
    </row>
    <row r="8" spans="1:4" x14ac:dyDescent="0.25">
      <c r="B8" s="1" t="s">
        <v>33</v>
      </c>
      <c r="D8" s="1" t="s">
        <v>119</v>
      </c>
    </row>
    <row r="9" spans="1:4" x14ac:dyDescent="0.25">
      <c r="A9" s="1" t="s">
        <v>14</v>
      </c>
      <c r="B9" s="1" t="s">
        <v>18</v>
      </c>
      <c r="C9" s="1" t="s">
        <v>87</v>
      </c>
      <c r="D9" s="1" t="s">
        <v>120</v>
      </c>
    </row>
    <row r="10" spans="1:4" x14ac:dyDescent="0.25">
      <c r="B10" s="1" t="s">
        <v>70</v>
      </c>
      <c r="D10" s="1" t="s">
        <v>121</v>
      </c>
    </row>
    <row r="11" spans="1:4" x14ac:dyDescent="0.25">
      <c r="B11" s="1" t="s">
        <v>1</v>
      </c>
      <c r="D11" s="1" t="s">
        <v>122</v>
      </c>
    </row>
    <row r="12" spans="1:4" x14ac:dyDescent="0.25">
      <c r="A12" s="1" t="s">
        <v>65</v>
      </c>
      <c r="B12" s="1" t="s">
        <v>57</v>
      </c>
      <c r="C12" s="1" t="s">
        <v>88</v>
      </c>
      <c r="D12" s="1" t="s">
        <v>123</v>
      </c>
    </row>
    <row r="13" spans="1:4" x14ac:dyDescent="0.25">
      <c r="B13" s="1" t="s">
        <v>16</v>
      </c>
      <c r="D13" s="1" t="s">
        <v>124</v>
      </c>
    </row>
    <row r="14" spans="1:4" x14ac:dyDescent="0.25">
      <c r="A14" s="1" t="s">
        <v>51</v>
      </c>
      <c r="C14" s="1" t="s">
        <v>89</v>
      </c>
      <c r="D14" s="1" t="s">
        <v>89</v>
      </c>
    </row>
    <row r="15" spans="1:4" x14ac:dyDescent="0.25">
      <c r="A15" s="1" t="s">
        <v>59</v>
      </c>
      <c r="B15" s="1" t="s">
        <v>34</v>
      </c>
      <c r="C15" s="1" t="s">
        <v>90</v>
      </c>
      <c r="D15" s="1" t="s">
        <v>125</v>
      </c>
    </row>
    <row r="16" spans="1:4" x14ac:dyDescent="0.25">
      <c r="B16" s="1" t="s">
        <v>74</v>
      </c>
      <c r="D16" s="1" t="s">
        <v>126</v>
      </c>
    </row>
    <row r="17" spans="1:4" x14ac:dyDescent="0.25">
      <c r="A17" s="1" t="s">
        <v>40</v>
      </c>
      <c r="B17" s="1" t="s">
        <v>48</v>
      </c>
      <c r="C17" s="1" t="s">
        <v>91</v>
      </c>
      <c r="D17" s="1" t="s">
        <v>92</v>
      </c>
    </row>
    <row r="18" spans="1:4" x14ac:dyDescent="0.25">
      <c r="B18" s="1" t="s">
        <v>39</v>
      </c>
      <c r="D18" s="1" t="s">
        <v>127</v>
      </c>
    </row>
    <row r="19" spans="1:4" x14ac:dyDescent="0.25">
      <c r="A19" s="1" t="s">
        <v>63</v>
      </c>
      <c r="B19" s="1" t="s">
        <v>4</v>
      </c>
      <c r="C19" s="1" t="s">
        <v>92</v>
      </c>
      <c r="D19" s="1" t="s">
        <v>92</v>
      </c>
    </row>
    <row r="20" spans="1:4" x14ac:dyDescent="0.25">
      <c r="A20" s="1" t="s">
        <v>42</v>
      </c>
      <c r="B20" s="1" t="s">
        <v>5</v>
      </c>
      <c r="C20" s="1" t="s">
        <v>93</v>
      </c>
      <c r="D20" s="1" t="s">
        <v>128</v>
      </c>
    </row>
    <row r="21" spans="1:4" x14ac:dyDescent="0.25">
      <c r="B21" s="1" t="s">
        <v>54</v>
      </c>
      <c r="D21" s="1" t="s">
        <v>129</v>
      </c>
    </row>
    <row r="22" spans="1:4" x14ac:dyDescent="0.25">
      <c r="B22" s="1" t="s">
        <v>76</v>
      </c>
      <c r="D22" s="1" t="s">
        <v>130</v>
      </c>
    </row>
    <row r="23" spans="1:4" x14ac:dyDescent="0.25">
      <c r="A23" s="1" t="s">
        <v>62</v>
      </c>
      <c r="B23" s="1" t="s">
        <v>75</v>
      </c>
      <c r="C23" s="1" t="s">
        <v>94</v>
      </c>
      <c r="D23" s="1" t="s">
        <v>128</v>
      </c>
    </row>
    <row r="24" spans="1:4" x14ac:dyDescent="0.25">
      <c r="B24" s="1" t="s">
        <v>9</v>
      </c>
      <c r="D24" s="1" t="s">
        <v>112</v>
      </c>
    </row>
    <row r="25" spans="1:4" x14ac:dyDescent="0.25">
      <c r="B25" s="1" t="s">
        <v>2</v>
      </c>
      <c r="D25" s="1" t="s">
        <v>121</v>
      </c>
    </row>
    <row r="26" spans="1:4" x14ac:dyDescent="0.25">
      <c r="A26" s="1" t="s">
        <v>0</v>
      </c>
      <c r="C26" s="1" t="s">
        <v>95</v>
      </c>
      <c r="D26" s="1" t="s">
        <v>95</v>
      </c>
    </row>
    <row r="27" spans="1:4" x14ac:dyDescent="0.25">
      <c r="A27" s="1" t="s">
        <v>36</v>
      </c>
      <c r="B27" s="1" t="s">
        <v>21</v>
      </c>
      <c r="C27" s="1" t="s">
        <v>113</v>
      </c>
      <c r="D27" s="1" t="s">
        <v>131</v>
      </c>
    </row>
    <row r="28" spans="1:4" x14ac:dyDescent="0.25">
      <c r="B28" s="1" t="s">
        <v>45</v>
      </c>
      <c r="D28" s="1" t="s">
        <v>132</v>
      </c>
    </row>
    <row r="29" spans="1:4" x14ac:dyDescent="0.25">
      <c r="A29" s="1" t="s">
        <v>22</v>
      </c>
      <c r="C29" s="1" t="s">
        <v>96</v>
      </c>
      <c r="D29" s="1" t="s">
        <v>96</v>
      </c>
    </row>
    <row r="30" spans="1:4" x14ac:dyDescent="0.25">
      <c r="A30" s="1" t="s">
        <v>10</v>
      </c>
      <c r="B30" s="1" t="s">
        <v>55</v>
      </c>
      <c r="C30" s="1" t="s">
        <v>97</v>
      </c>
      <c r="D30" s="1" t="s">
        <v>133</v>
      </c>
    </row>
    <row r="31" spans="1:4" x14ac:dyDescent="0.25">
      <c r="B31" s="1" t="s">
        <v>53</v>
      </c>
      <c r="D31" s="1" t="s">
        <v>134</v>
      </c>
    </row>
    <row r="32" spans="1:4" x14ac:dyDescent="0.25">
      <c r="A32" s="1" t="s">
        <v>31</v>
      </c>
      <c r="B32" s="1" t="s">
        <v>13</v>
      </c>
      <c r="C32" s="1" t="s">
        <v>98</v>
      </c>
      <c r="D32" s="1" t="s">
        <v>103</v>
      </c>
    </row>
    <row r="33" spans="1:4" x14ac:dyDescent="0.25">
      <c r="B33" s="1" t="s">
        <v>25</v>
      </c>
      <c r="D33" s="1" t="s">
        <v>108</v>
      </c>
    </row>
    <row r="34" spans="1:4" x14ac:dyDescent="0.25">
      <c r="A34" s="1" t="s">
        <v>24</v>
      </c>
      <c r="B34" s="1" t="s">
        <v>17</v>
      </c>
      <c r="C34" s="1" t="s">
        <v>99</v>
      </c>
      <c r="D34" s="1" t="s">
        <v>107</v>
      </c>
    </row>
    <row r="35" spans="1:4" x14ac:dyDescent="0.25">
      <c r="B35" s="1" t="s">
        <v>43</v>
      </c>
      <c r="D35" s="1" t="s">
        <v>135</v>
      </c>
    </row>
    <row r="36" spans="1:4" x14ac:dyDescent="0.25">
      <c r="A36" s="1" t="s">
        <v>27</v>
      </c>
      <c r="B36" s="1" t="s">
        <v>68</v>
      </c>
      <c r="C36" s="1" t="s">
        <v>100</v>
      </c>
      <c r="D36" s="1" t="s">
        <v>136</v>
      </c>
    </row>
    <row r="37" spans="1:4" x14ac:dyDescent="0.25">
      <c r="B37" s="1" t="s">
        <v>44</v>
      </c>
      <c r="D37" s="1" t="s">
        <v>108</v>
      </c>
    </row>
    <row r="38" spans="1:4" x14ac:dyDescent="0.25">
      <c r="B38" s="1" t="s">
        <v>11</v>
      </c>
      <c r="D38" s="1" t="s">
        <v>112</v>
      </c>
    </row>
    <row r="39" spans="1:4" x14ac:dyDescent="0.25">
      <c r="A39" s="1" t="s">
        <v>52</v>
      </c>
      <c r="B39" s="1" t="s">
        <v>58</v>
      </c>
      <c r="C39" s="1" t="s">
        <v>101</v>
      </c>
      <c r="D39" s="1" t="s">
        <v>106</v>
      </c>
    </row>
    <row r="40" spans="1:4" x14ac:dyDescent="0.25">
      <c r="B40" s="1" t="s">
        <v>19</v>
      </c>
      <c r="D40" s="1" t="s">
        <v>137</v>
      </c>
    </row>
    <row r="41" spans="1:4" x14ac:dyDescent="0.25">
      <c r="A41" s="1" t="s">
        <v>32</v>
      </c>
      <c r="C41" s="1" t="s">
        <v>101</v>
      </c>
      <c r="D41" s="1" t="s">
        <v>101</v>
      </c>
    </row>
    <row r="42" spans="1:4" x14ac:dyDescent="0.25">
      <c r="A42" s="1" t="s">
        <v>60</v>
      </c>
      <c r="B42" s="1" t="s">
        <v>23</v>
      </c>
      <c r="C42" s="1" t="s">
        <v>102</v>
      </c>
      <c r="D42" s="1" t="s">
        <v>122</v>
      </c>
    </row>
    <row r="43" spans="1:4" x14ac:dyDescent="0.25">
      <c r="B43" s="1" t="s">
        <v>64</v>
      </c>
      <c r="D43" s="1" t="s">
        <v>127</v>
      </c>
    </row>
    <row r="44" spans="1:4" x14ac:dyDescent="0.25">
      <c r="A44" s="1" t="s">
        <v>71</v>
      </c>
      <c r="C44" s="1" t="s">
        <v>103</v>
      </c>
      <c r="D44" s="1" t="s">
        <v>103</v>
      </c>
    </row>
    <row r="45" spans="1:4" x14ac:dyDescent="0.25">
      <c r="A45" s="1" t="s">
        <v>35</v>
      </c>
      <c r="C45" s="1" t="s">
        <v>104</v>
      </c>
      <c r="D45" s="1" t="s">
        <v>104</v>
      </c>
    </row>
    <row r="46" spans="1:4" x14ac:dyDescent="0.25">
      <c r="A46" s="1" t="s">
        <v>66</v>
      </c>
      <c r="C46" s="1" t="s">
        <v>104</v>
      </c>
      <c r="D46" s="1" t="s">
        <v>104</v>
      </c>
    </row>
    <row r="47" spans="1:4" x14ac:dyDescent="0.25">
      <c r="A47" s="1" t="s">
        <v>7</v>
      </c>
      <c r="B47" s="1" t="s">
        <v>50</v>
      </c>
      <c r="C47" s="1" t="s">
        <v>104</v>
      </c>
      <c r="D47" s="1" t="s">
        <v>135</v>
      </c>
    </row>
    <row r="48" spans="1:4" x14ac:dyDescent="0.25">
      <c r="B48" s="1" t="s">
        <v>61</v>
      </c>
      <c r="D48" s="1" t="s">
        <v>138</v>
      </c>
    </row>
    <row r="49" spans="1:4" x14ac:dyDescent="0.25">
      <c r="A49" s="1" t="s">
        <v>77</v>
      </c>
      <c r="C49" s="1" t="s">
        <v>105</v>
      </c>
      <c r="D49" s="1" t="s">
        <v>106</v>
      </c>
    </row>
    <row r="50" spans="1:4" x14ac:dyDescent="0.25">
      <c r="A50" s="1" t="s">
        <v>28</v>
      </c>
      <c r="B50" s="1" t="s">
        <v>67</v>
      </c>
      <c r="C50" s="1" t="s">
        <v>106</v>
      </c>
      <c r="D50" s="1" t="s">
        <v>111</v>
      </c>
    </row>
    <row r="51" spans="1:4" x14ac:dyDescent="0.25">
      <c r="B51" s="1" t="s">
        <v>26</v>
      </c>
      <c r="D51" s="1" t="s">
        <v>108</v>
      </c>
    </row>
    <row r="52" spans="1:4" x14ac:dyDescent="0.25">
      <c r="A52" s="1" t="s">
        <v>72</v>
      </c>
      <c r="B52" s="1" t="s">
        <v>30</v>
      </c>
      <c r="C52" s="1" t="s">
        <v>107</v>
      </c>
      <c r="D52" s="1" t="s">
        <v>137</v>
      </c>
    </row>
    <row r="53" spans="1:4" x14ac:dyDescent="0.25">
      <c r="B53" s="1" t="s">
        <v>20</v>
      </c>
      <c r="D53" s="1" t="s">
        <v>132</v>
      </c>
    </row>
    <row r="54" spans="1:4" x14ac:dyDescent="0.25">
      <c r="A54" s="1" t="s">
        <v>46</v>
      </c>
      <c r="B54" s="1" t="s">
        <v>38</v>
      </c>
      <c r="C54" s="1" t="s">
        <v>108</v>
      </c>
      <c r="D54" s="1" t="s">
        <v>138</v>
      </c>
    </row>
    <row r="55" spans="1:4" x14ac:dyDescent="0.25">
      <c r="B55" s="1" t="s">
        <v>8</v>
      </c>
      <c r="D55" s="1" t="s">
        <v>132</v>
      </c>
    </row>
    <row r="56" spans="1:4" x14ac:dyDescent="0.25">
      <c r="A56" s="1" t="s">
        <v>37</v>
      </c>
      <c r="C56" s="1" t="s">
        <v>109</v>
      </c>
      <c r="D56" s="1" t="s">
        <v>109</v>
      </c>
    </row>
    <row r="57" spans="1:4" x14ac:dyDescent="0.25">
      <c r="A57" s="1" t="s">
        <v>73</v>
      </c>
      <c r="C57" s="1" t="s">
        <v>110</v>
      </c>
      <c r="D57" s="1" t="s">
        <v>110</v>
      </c>
    </row>
    <row r="58" spans="1:4" x14ac:dyDescent="0.25">
      <c r="A58" s="1" t="s">
        <v>3</v>
      </c>
      <c r="C58" s="1" t="s">
        <v>111</v>
      </c>
      <c r="D58" s="1" t="s">
        <v>111</v>
      </c>
    </row>
    <row r="59" spans="1:4" x14ac:dyDescent="0.25">
      <c r="A59" s="1" t="s">
        <v>29</v>
      </c>
      <c r="C59" s="1" t="s">
        <v>111</v>
      </c>
      <c r="D59" s="1" t="s">
        <v>111</v>
      </c>
    </row>
    <row r="60" spans="1:4" x14ac:dyDescent="0.25">
      <c r="A60" s="1" t="s">
        <v>47</v>
      </c>
      <c r="C60" s="1" t="s">
        <v>111</v>
      </c>
      <c r="D60" s="1" t="s">
        <v>111</v>
      </c>
    </row>
    <row r="61" spans="1:4" x14ac:dyDescent="0.25">
      <c r="A61" s="1" t="s">
        <v>12</v>
      </c>
      <c r="C61" s="1" t="s">
        <v>112</v>
      </c>
      <c r="D61" s="1" t="s">
        <v>112</v>
      </c>
    </row>
    <row r="62" spans="1:4" x14ac:dyDescent="0.25">
      <c r="D62" s="1" t="s">
        <v>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D513-B2DD-4F66-AA0D-E102C4C86B75}">
  <dimension ref="A1:E9"/>
  <sheetViews>
    <sheetView workbookViewId="0">
      <selection activeCell="C22" sqref="C22"/>
    </sheetView>
  </sheetViews>
  <sheetFormatPr defaultRowHeight="15" x14ac:dyDescent="0.25"/>
  <cols>
    <col min="1" max="1" width="19.42578125" customWidth="1"/>
    <col min="2" max="3" width="22.7109375" customWidth="1"/>
    <col min="4" max="4" width="26.140625" customWidth="1"/>
  </cols>
  <sheetData>
    <row r="1" spans="1:5" ht="42.75" x14ac:dyDescent="0.25">
      <c r="A1" s="25" t="s">
        <v>140</v>
      </c>
      <c r="B1" s="12" t="s">
        <v>141</v>
      </c>
      <c r="C1" s="12"/>
      <c r="D1" s="25" t="s">
        <v>143</v>
      </c>
      <c r="E1" s="14" t="s">
        <v>144</v>
      </c>
    </row>
    <row r="2" spans="1:5" ht="29.25" thickBot="1" x14ac:dyDescent="0.3">
      <c r="A2" s="26"/>
      <c r="B2" s="13" t="s">
        <v>142</v>
      </c>
      <c r="C2" s="13"/>
      <c r="D2" s="26"/>
      <c r="E2" s="15" t="s">
        <v>145</v>
      </c>
    </row>
    <row r="3" spans="1:5" ht="15.75" thickBot="1" x14ac:dyDescent="0.3">
      <c r="A3" s="16" t="s">
        <v>146</v>
      </c>
      <c r="B3" s="17">
        <v>512</v>
      </c>
      <c r="C3" s="17">
        <f>(B3/1277)*100</f>
        <v>40.093970242756463</v>
      </c>
      <c r="D3" s="18">
        <v>0.4</v>
      </c>
      <c r="E3" s="17">
        <v>20</v>
      </c>
    </row>
    <row r="4" spans="1:5" ht="15.75" thickBot="1" x14ac:dyDescent="0.3">
      <c r="A4" s="19" t="s">
        <v>147</v>
      </c>
      <c r="B4" s="20">
        <v>286</v>
      </c>
      <c r="C4" s="17">
        <f t="shared" ref="C4:C9" si="0">(B4/1277)*100</f>
        <v>22.396241190289743</v>
      </c>
      <c r="D4" s="21">
        <v>0.22</v>
      </c>
      <c r="E4" s="20">
        <v>11</v>
      </c>
    </row>
    <row r="5" spans="1:5" ht="15.75" thickBot="1" x14ac:dyDescent="0.3">
      <c r="A5" s="16" t="s">
        <v>148</v>
      </c>
      <c r="B5" s="17">
        <v>145</v>
      </c>
      <c r="C5" s="17">
        <f t="shared" si="0"/>
        <v>11.354737666405638</v>
      </c>
      <c r="D5" s="18">
        <v>0.11</v>
      </c>
      <c r="E5" s="17">
        <v>6</v>
      </c>
    </row>
    <row r="6" spans="1:5" ht="15.75" thickBot="1" x14ac:dyDescent="0.3">
      <c r="A6" s="19" t="s">
        <v>149</v>
      </c>
      <c r="B6" s="20">
        <v>143</v>
      </c>
      <c r="C6" s="17">
        <f t="shared" si="0"/>
        <v>11.198120595144871</v>
      </c>
      <c r="D6" s="21">
        <v>0.11</v>
      </c>
      <c r="E6" s="20">
        <v>5</v>
      </c>
    </row>
    <row r="7" spans="1:5" ht="15.75" thickBot="1" x14ac:dyDescent="0.3">
      <c r="A7" s="16" t="s">
        <v>150</v>
      </c>
      <c r="B7" s="17">
        <v>97</v>
      </c>
      <c r="C7" s="17">
        <f t="shared" si="0"/>
        <v>7.5959279561472206</v>
      </c>
      <c r="D7" s="18">
        <v>0.08</v>
      </c>
      <c r="E7" s="17">
        <v>4</v>
      </c>
    </row>
    <row r="8" spans="1:5" ht="15.75" thickBot="1" x14ac:dyDescent="0.3">
      <c r="A8" s="19" t="s">
        <v>151</v>
      </c>
      <c r="B8" s="20">
        <v>94</v>
      </c>
      <c r="C8" s="17">
        <f t="shared" si="0"/>
        <v>7.3610023492560686</v>
      </c>
      <c r="D8" s="21">
        <v>7.0000000000000007E-2</v>
      </c>
      <c r="E8" s="20">
        <v>4</v>
      </c>
    </row>
    <row r="9" spans="1:5" ht="15.75" thickBot="1" x14ac:dyDescent="0.3">
      <c r="A9" s="16" t="s">
        <v>152</v>
      </c>
      <c r="B9" s="22">
        <v>1277</v>
      </c>
      <c r="C9" s="17">
        <f t="shared" si="0"/>
        <v>100</v>
      </c>
      <c r="D9" s="23">
        <v>1</v>
      </c>
      <c r="E9" s="22">
        <v>50</v>
      </c>
    </row>
  </sheetData>
  <mergeCells count="2">
    <mergeCell ref="A1:A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36A3-E938-44D0-9EA4-070B3345F65E}">
  <dimension ref="B1:D30"/>
  <sheetViews>
    <sheetView tabSelected="1" workbookViewId="0">
      <selection sqref="A1:XFD1048576"/>
    </sheetView>
  </sheetViews>
  <sheetFormatPr defaultRowHeight="15" x14ac:dyDescent="0.25"/>
  <cols>
    <col min="2" max="2" width="28.28515625" customWidth="1"/>
    <col min="3" max="3" width="26.85546875" customWidth="1"/>
  </cols>
  <sheetData>
    <row r="1" spans="2:4" x14ac:dyDescent="0.25">
      <c r="B1" s="24" t="s">
        <v>153</v>
      </c>
      <c r="C1" s="24" t="s">
        <v>154</v>
      </c>
      <c r="D1" s="24" t="s">
        <v>155</v>
      </c>
    </row>
    <row r="2" spans="2:4" x14ac:dyDescent="0.25">
      <c r="B2" t="s">
        <v>156</v>
      </c>
      <c r="C2">
        <v>15.61</v>
      </c>
      <c r="D2">
        <v>0</v>
      </c>
    </row>
    <row r="3" spans="2:4" x14ac:dyDescent="0.25">
      <c r="B3" t="s">
        <v>157</v>
      </c>
      <c r="C3">
        <v>0</v>
      </c>
      <c r="D3">
        <v>1.69</v>
      </c>
    </row>
    <row r="5" spans="2:4" x14ac:dyDescent="0.25">
      <c r="B5" t="s">
        <v>158</v>
      </c>
      <c r="C5">
        <v>12.03</v>
      </c>
      <c r="D5">
        <v>0</v>
      </c>
    </row>
    <row r="6" spans="2:4" x14ac:dyDescent="0.25">
      <c r="B6" t="s">
        <v>7</v>
      </c>
      <c r="C6">
        <v>0</v>
      </c>
      <c r="D6">
        <v>1.55</v>
      </c>
    </row>
    <row r="8" spans="2:4" x14ac:dyDescent="0.25">
      <c r="B8" t="s">
        <v>159</v>
      </c>
      <c r="C8">
        <v>11.76</v>
      </c>
      <c r="D8">
        <v>0</v>
      </c>
    </row>
    <row r="9" spans="2:4" x14ac:dyDescent="0.25">
      <c r="B9" t="s">
        <v>160</v>
      </c>
      <c r="C9">
        <v>0</v>
      </c>
      <c r="D9">
        <v>4.71</v>
      </c>
    </row>
    <row r="11" spans="2:4" x14ac:dyDescent="0.25">
      <c r="B11" t="s">
        <v>161</v>
      </c>
      <c r="C11">
        <v>11.72</v>
      </c>
      <c r="D11">
        <v>0</v>
      </c>
    </row>
    <row r="12" spans="2:4" x14ac:dyDescent="0.25">
      <c r="B12" t="s">
        <v>162</v>
      </c>
      <c r="C12">
        <v>0</v>
      </c>
      <c r="D12">
        <v>3.94</v>
      </c>
    </row>
    <row r="14" spans="2:4" x14ac:dyDescent="0.25">
      <c r="B14" t="s">
        <v>163</v>
      </c>
      <c r="C14">
        <v>9.6999999999999993</v>
      </c>
      <c r="D14">
        <v>0</v>
      </c>
    </row>
    <row r="15" spans="2:4" x14ac:dyDescent="0.25">
      <c r="B15" t="s">
        <v>164</v>
      </c>
      <c r="C15">
        <v>0</v>
      </c>
      <c r="D15">
        <v>4.08</v>
      </c>
    </row>
    <row r="17" spans="2:4" x14ac:dyDescent="0.25">
      <c r="B17" t="s">
        <v>165</v>
      </c>
      <c r="C17">
        <v>9.48</v>
      </c>
      <c r="D17">
        <v>0</v>
      </c>
    </row>
    <row r="18" spans="2:4" x14ac:dyDescent="0.25">
      <c r="B18" t="s">
        <v>166</v>
      </c>
      <c r="C18">
        <v>0</v>
      </c>
      <c r="D18">
        <v>3.03</v>
      </c>
    </row>
    <row r="20" spans="2:4" x14ac:dyDescent="0.25">
      <c r="B20" t="s">
        <v>167</v>
      </c>
      <c r="C20">
        <v>8.18</v>
      </c>
      <c r="D20">
        <v>0</v>
      </c>
    </row>
    <row r="21" spans="2:4" x14ac:dyDescent="0.25">
      <c r="B21" t="s">
        <v>168</v>
      </c>
      <c r="C21">
        <v>0</v>
      </c>
      <c r="D21">
        <v>2.3199999999999998</v>
      </c>
    </row>
    <row r="23" spans="2:4" x14ac:dyDescent="0.25">
      <c r="B23" t="s">
        <v>169</v>
      </c>
      <c r="C23">
        <v>7.55</v>
      </c>
      <c r="D23">
        <v>0</v>
      </c>
    </row>
    <row r="24" spans="2:4" x14ac:dyDescent="0.25">
      <c r="B24" t="s">
        <v>169</v>
      </c>
      <c r="C24">
        <v>0</v>
      </c>
      <c r="D24">
        <v>5.77</v>
      </c>
    </row>
    <row r="26" spans="2:4" x14ac:dyDescent="0.25">
      <c r="B26" t="s">
        <v>170</v>
      </c>
      <c r="C26">
        <v>7.06</v>
      </c>
      <c r="D26">
        <v>0</v>
      </c>
    </row>
    <row r="27" spans="2:4" x14ac:dyDescent="0.25">
      <c r="B27" t="s">
        <v>171</v>
      </c>
      <c r="C27">
        <v>0</v>
      </c>
      <c r="D27">
        <v>10.34</v>
      </c>
    </row>
    <row r="29" spans="2:4" x14ac:dyDescent="0.25">
      <c r="B29" t="s">
        <v>172</v>
      </c>
      <c r="C29">
        <v>6.91</v>
      </c>
      <c r="D29">
        <v>0</v>
      </c>
    </row>
    <row r="30" spans="2:4" x14ac:dyDescent="0.25">
      <c r="B30" t="s">
        <v>173</v>
      </c>
      <c r="C30">
        <v>0</v>
      </c>
      <c r="D30">
        <v>3.24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Manual Analysis code Percentage</vt:lpstr>
      <vt:lpstr>Stratified random Sampling</vt:lpstr>
      <vt:lpstr>Comparison with manual 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Das</cp:lastModifiedBy>
  <dcterms:created xsi:type="dcterms:W3CDTF">2024-08-24T05:22:18Z</dcterms:created>
  <dcterms:modified xsi:type="dcterms:W3CDTF">2025-12-23T09:52:09Z</dcterms:modified>
</cp:coreProperties>
</file>