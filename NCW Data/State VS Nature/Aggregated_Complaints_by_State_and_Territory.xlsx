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NCW data\State VS nature\"/>
    </mc:Choice>
  </mc:AlternateContent>
  <bookViews>
    <workbookView xWindow="0" yWindow="0" windowWidth="23340" windowHeight="12240"/>
  </bookViews>
  <sheets>
    <sheet name="Aggregated_Complaints_by_State_" sheetId="1" r:id="rId1"/>
  </sheets>
  <calcPr calcId="0"/>
</workbook>
</file>

<file path=xl/calcChain.xml><?xml version="1.0" encoding="utf-8"?>
<calcChain xmlns="http://schemas.openxmlformats.org/spreadsheetml/2006/main">
  <c r="AM39" i="1" l="1"/>
  <c r="AM4" i="1"/>
  <c r="AM35" i="1"/>
  <c r="AM54" i="1"/>
  <c r="AM5" i="1"/>
  <c r="AM14" i="1"/>
  <c r="AM3" i="1"/>
  <c r="AM37" i="1"/>
  <c r="AM34" i="1"/>
  <c r="AM48" i="1"/>
  <c r="AM7" i="1"/>
  <c r="AM11" i="1"/>
  <c r="AM17" i="1"/>
  <c r="AM40" i="1"/>
  <c r="AM18" i="1"/>
  <c r="AM27" i="1"/>
  <c r="AM2" i="1"/>
  <c r="AM52" i="1"/>
  <c r="AM41" i="1"/>
  <c r="AM42" i="1"/>
  <c r="AM31" i="1"/>
  <c r="AM36" i="1"/>
  <c r="AM12" i="1"/>
  <c r="AM49" i="1"/>
  <c r="AM29" i="1"/>
  <c r="AM51" i="1"/>
  <c r="AM46" i="1"/>
  <c r="AM33" i="1"/>
  <c r="AM8" i="1"/>
  <c r="AM43" i="1"/>
  <c r="AM28" i="1"/>
  <c r="AM20" i="1"/>
  <c r="AM19" i="1"/>
  <c r="AM23" i="1"/>
  <c r="AM53" i="1"/>
  <c r="AM50" i="1"/>
  <c r="AM13" i="1"/>
  <c r="AM15" i="1"/>
  <c r="AM45" i="1"/>
  <c r="AM32" i="1"/>
  <c r="AM26" i="1"/>
  <c r="AM44" i="1"/>
  <c r="AM22" i="1"/>
  <c r="AM10" i="1"/>
  <c r="AM24" i="1"/>
  <c r="AM6" i="1"/>
  <c r="AM25" i="1"/>
  <c r="AM38" i="1"/>
  <c r="AM55" i="1"/>
  <c r="AM16" i="1"/>
  <c r="AM9" i="1"/>
  <c r="AM30" i="1"/>
  <c r="AM21" i="1"/>
  <c r="AM47" i="1"/>
</calcChain>
</file>

<file path=xl/sharedStrings.xml><?xml version="1.0" encoding="utf-8"?>
<sst xmlns="http://schemas.openxmlformats.org/spreadsheetml/2006/main" count="93" uniqueCount="93">
  <si>
    <t>Nature of Complaint</t>
  </si>
  <si>
    <t>AP</t>
  </si>
  <si>
    <t>AR</t>
  </si>
  <si>
    <t>AS</t>
  </si>
  <si>
    <t>BR</t>
  </si>
  <si>
    <t>CG</t>
  </si>
  <si>
    <t>GA</t>
  </si>
  <si>
    <t>GJ</t>
  </si>
  <si>
    <t>HR</t>
  </si>
  <si>
    <t>HP</t>
  </si>
  <si>
    <t>JH</t>
  </si>
  <si>
    <t>KA</t>
  </si>
  <si>
    <t>KL</t>
  </si>
  <si>
    <t>MP</t>
  </si>
  <si>
    <t>MH</t>
  </si>
  <si>
    <t>MN</t>
  </si>
  <si>
    <t>ML</t>
  </si>
  <si>
    <t>MZ</t>
  </si>
  <si>
    <t>NL</t>
  </si>
  <si>
    <t>OR</t>
  </si>
  <si>
    <t>PB</t>
  </si>
  <si>
    <t>RJ</t>
  </si>
  <si>
    <t>SK</t>
  </si>
  <si>
    <t>TN</t>
  </si>
  <si>
    <t>TG</t>
  </si>
  <si>
    <t>TR</t>
  </si>
  <si>
    <t>UP</t>
  </si>
  <si>
    <t>UK</t>
  </si>
  <si>
    <t>WB</t>
  </si>
  <si>
    <t>A&amp;N</t>
  </si>
  <si>
    <t>CH</t>
  </si>
  <si>
    <t>D&amp;H</t>
  </si>
  <si>
    <t>D&amp;D</t>
  </si>
  <si>
    <t>DL</t>
  </si>
  <si>
    <t>J&amp;K</t>
  </si>
  <si>
    <t>LA</t>
  </si>
  <si>
    <t>LD</t>
  </si>
  <si>
    <t>PY</t>
  </si>
  <si>
    <t>Acid Attack</t>
  </si>
  <si>
    <t>Attempt To Murder</t>
  </si>
  <si>
    <t>Attempt To Rape</t>
  </si>
  <si>
    <t>Bigamy / Polygamy</t>
  </si>
  <si>
    <t>Caste, Community Based Violence</t>
  </si>
  <si>
    <t>Complaint Against NRIs/ NRI Marriages</t>
  </si>
  <si>
    <t>Complaints Related to Riot / Communal Violence</t>
  </si>
  <si>
    <t>Complaints by In Laws</t>
  </si>
  <si>
    <t>Cyber Crime against women</t>
  </si>
  <si>
    <t>Denial of Maternity Benefits to women</t>
  </si>
  <si>
    <t>Deprivation of Property Rights</t>
  </si>
  <si>
    <t>Deprivation of Women Rights</t>
  </si>
  <si>
    <t>Divorce</t>
  </si>
  <si>
    <t>Dowry Death</t>
  </si>
  <si>
    <t>Dowry Harassment / Cruelty to married women</t>
  </si>
  <si>
    <t>Dowry death</t>
  </si>
  <si>
    <t>Dowry harassment / dowry death</t>
  </si>
  <si>
    <t>Free legal aid for women</t>
  </si>
  <si>
    <t>Gender Discrimination including equal right to education &amp; work</t>
  </si>
  <si>
    <t>Harassment</t>
  </si>
  <si>
    <t>Harassment At Workplace</t>
  </si>
  <si>
    <t>Harassment of married women/Dowry harassment</t>
  </si>
  <si>
    <t>Indecent Representation of Women</t>
  </si>
  <si>
    <t>Kidnapping / Abduction</t>
  </si>
  <si>
    <t>Maintenance Claim</t>
  </si>
  <si>
    <t>Miscellaneous</t>
  </si>
  <si>
    <t>Murder</t>
  </si>
  <si>
    <t>Not Categorized yet</t>
  </si>
  <si>
    <t>Outraging Modesty of Women</t>
  </si>
  <si>
    <t>Outraging modesty of women/Molestation</t>
  </si>
  <si>
    <t>Police Apathy against women</t>
  </si>
  <si>
    <t>Pre-Marital Breach of Trust</t>
  </si>
  <si>
    <t>Privacy of women and rights thereof</t>
  </si>
  <si>
    <t>Property</t>
  </si>
  <si>
    <t>Protection of Women against Domestic Violence</t>
  </si>
  <si>
    <t>Rape</t>
  </si>
  <si>
    <t>Rape/Attempt to Rape</t>
  </si>
  <si>
    <t>Reproductive health rights of women</t>
  </si>
  <si>
    <t>Right to Exercise Choice in marriage</t>
  </si>
  <si>
    <t>Right to exercise choice in marriage/Honour Crimes</t>
  </si>
  <si>
    <t>Right to live with dignity</t>
  </si>
  <si>
    <t>Sex Scandals</t>
  </si>
  <si>
    <t>Sex selective abortion / female foeticide / amniocentesis</t>
  </si>
  <si>
    <t>Sexual Assault</t>
  </si>
  <si>
    <t>Sexual Harassment</t>
  </si>
  <si>
    <t>Sexual Harassment of Women at workplace</t>
  </si>
  <si>
    <t>Sexual harassment including sexual harassment at workplace</t>
  </si>
  <si>
    <t>Shelter &amp; Rehabilitation of Victims</t>
  </si>
  <si>
    <t>Stalking / Voyeurism</t>
  </si>
  <si>
    <t>Suicide</t>
  </si>
  <si>
    <t>Traditional practices derogatory to women rights i.e. sati pratha, devdasi pratha, witch hunting</t>
  </si>
  <si>
    <t>Trafficking / Prostitution of women</t>
  </si>
  <si>
    <t>Violence against women</t>
  </si>
  <si>
    <t>Women's right of custody of children in the event of divorce</t>
  </si>
  <si>
    <t>Total value of complaints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</si>
</sst>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5"/>
  <sheetViews>
    <sheetView tabSelected="1" workbookViewId="0">
      <selection activeCell="A54" sqref="A54"/>
    </sheetView>
  </sheetViews>
  <sheetFormatPr defaultRowHeight="15" x14ac:dyDescent="0.25"/>
  <cols>
    <col min="1" max="1" width="25.855468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92</v>
      </c>
    </row>
    <row r="2" spans="1:39" x14ac:dyDescent="0.25">
      <c r="A2" t="s">
        <v>78</v>
      </c>
      <c r="B2">
        <v>290</v>
      </c>
      <c r="C2">
        <v>5</v>
      </c>
      <c r="D2">
        <v>119</v>
      </c>
      <c r="E2">
        <v>1732</v>
      </c>
      <c r="F2">
        <v>262</v>
      </c>
      <c r="G2">
        <v>32</v>
      </c>
      <c r="H2">
        <v>304</v>
      </c>
      <c r="I2">
        <v>3232</v>
      </c>
      <c r="J2">
        <v>157</v>
      </c>
      <c r="K2">
        <v>641</v>
      </c>
      <c r="L2">
        <v>737</v>
      </c>
      <c r="M2">
        <v>269</v>
      </c>
      <c r="N2">
        <v>1757</v>
      </c>
      <c r="O2">
        <v>1856</v>
      </c>
      <c r="P2">
        <v>6</v>
      </c>
      <c r="Q2">
        <v>15</v>
      </c>
      <c r="R2">
        <v>2</v>
      </c>
      <c r="S2">
        <v>2</v>
      </c>
      <c r="T2">
        <v>277</v>
      </c>
      <c r="U2">
        <v>811</v>
      </c>
      <c r="V2">
        <v>2123</v>
      </c>
      <c r="W2">
        <v>4</v>
      </c>
      <c r="X2">
        <v>682</v>
      </c>
      <c r="Y2">
        <v>352</v>
      </c>
      <c r="Z2">
        <v>10</v>
      </c>
      <c r="AA2">
        <v>32013</v>
      </c>
      <c r="AB2">
        <v>998</v>
      </c>
      <c r="AC2">
        <v>932</v>
      </c>
      <c r="AD2">
        <v>10</v>
      </c>
      <c r="AE2">
        <v>116</v>
      </c>
      <c r="AF2">
        <v>11</v>
      </c>
      <c r="AG2">
        <v>5</v>
      </c>
      <c r="AH2">
        <v>8449</v>
      </c>
      <c r="AI2">
        <v>134</v>
      </c>
      <c r="AJ2">
        <v>0</v>
      </c>
      <c r="AK2">
        <v>2</v>
      </c>
      <c r="AL2">
        <v>36</v>
      </c>
      <c r="AM2">
        <f>SUM(B2:AL2)</f>
        <v>58383</v>
      </c>
    </row>
    <row r="3" spans="1:39" x14ac:dyDescent="0.25">
      <c r="A3" t="s">
        <v>68</v>
      </c>
      <c r="B3">
        <v>116</v>
      </c>
      <c r="C3">
        <v>2</v>
      </c>
      <c r="D3">
        <v>37</v>
      </c>
      <c r="E3">
        <v>1140</v>
      </c>
      <c r="F3">
        <v>149</v>
      </c>
      <c r="G3">
        <v>9</v>
      </c>
      <c r="H3">
        <v>126</v>
      </c>
      <c r="I3">
        <v>2907</v>
      </c>
      <c r="J3">
        <v>82</v>
      </c>
      <c r="K3">
        <v>422</v>
      </c>
      <c r="L3">
        <v>149</v>
      </c>
      <c r="M3">
        <v>64</v>
      </c>
      <c r="N3">
        <v>1224</v>
      </c>
      <c r="O3">
        <v>561</v>
      </c>
      <c r="P3">
        <v>7</v>
      </c>
      <c r="Q3">
        <v>4</v>
      </c>
      <c r="R3">
        <v>2</v>
      </c>
      <c r="S3">
        <v>1</v>
      </c>
      <c r="T3">
        <v>168</v>
      </c>
      <c r="U3">
        <v>502</v>
      </c>
      <c r="V3">
        <v>2617</v>
      </c>
      <c r="W3">
        <v>1</v>
      </c>
      <c r="X3">
        <v>298</v>
      </c>
      <c r="Y3">
        <v>120</v>
      </c>
      <c r="Z3">
        <v>6</v>
      </c>
      <c r="AA3">
        <v>24193</v>
      </c>
      <c r="AB3">
        <v>528</v>
      </c>
      <c r="AC3">
        <v>297</v>
      </c>
      <c r="AD3">
        <v>5</v>
      </c>
      <c r="AE3">
        <v>75</v>
      </c>
      <c r="AF3">
        <v>5</v>
      </c>
      <c r="AG3">
        <v>7</v>
      </c>
      <c r="AH3">
        <v>3832</v>
      </c>
      <c r="AI3">
        <v>27</v>
      </c>
      <c r="AJ3">
        <v>0</v>
      </c>
      <c r="AK3">
        <v>1</v>
      </c>
      <c r="AL3">
        <v>24</v>
      </c>
      <c r="AM3">
        <f>SUM(B3:AL3)</f>
        <v>39708</v>
      </c>
    </row>
    <row r="4" spans="1:39" x14ac:dyDescent="0.25">
      <c r="A4" t="s">
        <v>63</v>
      </c>
      <c r="B4">
        <v>148</v>
      </c>
      <c r="C4">
        <v>7</v>
      </c>
      <c r="D4">
        <v>60</v>
      </c>
      <c r="E4">
        <v>588</v>
      </c>
      <c r="F4">
        <v>129</v>
      </c>
      <c r="G4">
        <v>16</v>
      </c>
      <c r="H4">
        <v>180</v>
      </c>
      <c r="I4">
        <v>911</v>
      </c>
      <c r="J4">
        <v>79</v>
      </c>
      <c r="K4">
        <v>287</v>
      </c>
      <c r="L4">
        <v>202</v>
      </c>
      <c r="M4">
        <v>92</v>
      </c>
      <c r="N4">
        <v>878</v>
      </c>
      <c r="O4">
        <v>844</v>
      </c>
      <c r="P4">
        <v>5</v>
      </c>
      <c r="Q4">
        <v>6</v>
      </c>
      <c r="R4">
        <v>2</v>
      </c>
      <c r="S4">
        <v>2</v>
      </c>
      <c r="T4">
        <v>147</v>
      </c>
      <c r="U4">
        <v>313</v>
      </c>
      <c r="V4">
        <v>1138</v>
      </c>
      <c r="W4">
        <v>1</v>
      </c>
      <c r="X4">
        <v>268</v>
      </c>
      <c r="Y4">
        <v>145</v>
      </c>
      <c r="Z4">
        <v>6</v>
      </c>
      <c r="AA4">
        <v>8168</v>
      </c>
      <c r="AB4">
        <v>387</v>
      </c>
      <c r="AC4">
        <v>362</v>
      </c>
      <c r="AD4">
        <v>15</v>
      </c>
      <c r="AE4">
        <v>50</v>
      </c>
      <c r="AF4">
        <v>4</v>
      </c>
      <c r="AG4">
        <v>3</v>
      </c>
      <c r="AH4">
        <v>2191</v>
      </c>
      <c r="AI4">
        <v>35</v>
      </c>
      <c r="AJ4">
        <v>0</v>
      </c>
      <c r="AK4">
        <v>0</v>
      </c>
      <c r="AL4">
        <v>18</v>
      </c>
      <c r="AM4">
        <f>SUM(B4:AL4)</f>
        <v>17687</v>
      </c>
    </row>
    <row r="5" spans="1:39" x14ac:dyDescent="0.25">
      <c r="A5" t="s">
        <v>66</v>
      </c>
      <c r="B5">
        <v>37</v>
      </c>
      <c r="C5">
        <v>1</v>
      </c>
      <c r="D5">
        <v>30</v>
      </c>
      <c r="E5">
        <v>277</v>
      </c>
      <c r="F5">
        <v>55</v>
      </c>
      <c r="G5">
        <v>7</v>
      </c>
      <c r="H5">
        <v>35</v>
      </c>
      <c r="I5">
        <v>658</v>
      </c>
      <c r="J5">
        <v>33</v>
      </c>
      <c r="K5">
        <v>101</v>
      </c>
      <c r="L5">
        <v>113</v>
      </c>
      <c r="M5">
        <v>28</v>
      </c>
      <c r="N5">
        <v>348</v>
      </c>
      <c r="O5">
        <v>331</v>
      </c>
      <c r="P5">
        <v>0</v>
      </c>
      <c r="Q5">
        <v>2</v>
      </c>
      <c r="R5">
        <v>0</v>
      </c>
      <c r="S5">
        <v>1</v>
      </c>
      <c r="T5">
        <v>40</v>
      </c>
      <c r="U5">
        <v>141</v>
      </c>
      <c r="V5">
        <v>529</v>
      </c>
      <c r="W5">
        <v>3</v>
      </c>
      <c r="X5">
        <v>144</v>
      </c>
      <c r="Y5">
        <v>64</v>
      </c>
      <c r="Z5">
        <v>2</v>
      </c>
      <c r="AA5">
        <v>7448</v>
      </c>
      <c r="AB5">
        <v>144</v>
      </c>
      <c r="AC5">
        <v>145</v>
      </c>
      <c r="AD5">
        <v>4</v>
      </c>
      <c r="AE5">
        <v>21</v>
      </c>
      <c r="AF5">
        <v>1</v>
      </c>
      <c r="AG5">
        <v>4</v>
      </c>
      <c r="AH5">
        <v>1433</v>
      </c>
      <c r="AI5">
        <v>14</v>
      </c>
      <c r="AJ5">
        <v>0</v>
      </c>
      <c r="AK5">
        <v>0</v>
      </c>
      <c r="AL5">
        <v>8</v>
      </c>
      <c r="AM5">
        <f>SUM(B5:AL5)</f>
        <v>12202</v>
      </c>
    </row>
    <row r="6" spans="1:39" x14ac:dyDescent="0.25">
      <c r="A6" t="s">
        <v>54</v>
      </c>
      <c r="B6">
        <v>83</v>
      </c>
      <c r="C6">
        <v>1</v>
      </c>
      <c r="D6">
        <v>21</v>
      </c>
      <c r="E6">
        <v>404</v>
      </c>
      <c r="F6">
        <v>56</v>
      </c>
      <c r="G6">
        <v>1</v>
      </c>
      <c r="H6">
        <v>67</v>
      </c>
      <c r="I6">
        <v>549</v>
      </c>
      <c r="J6">
        <v>18</v>
      </c>
      <c r="K6">
        <v>127</v>
      </c>
      <c r="L6">
        <v>131</v>
      </c>
      <c r="M6">
        <v>17</v>
      </c>
      <c r="N6">
        <v>352</v>
      </c>
      <c r="O6">
        <v>242</v>
      </c>
      <c r="P6">
        <v>2</v>
      </c>
      <c r="Q6">
        <v>0</v>
      </c>
      <c r="R6">
        <v>0</v>
      </c>
      <c r="S6">
        <v>0</v>
      </c>
      <c r="T6">
        <v>43</v>
      </c>
      <c r="U6">
        <v>185</v>
      </c>
      <c r="V6">
        <v>384</v>
      </c>
      <c r="W6">
        <v>0</v>
      </c>
      <c r="X6">
        <v>129</v>
      </c>
      <c r="Y6">
        <v>93</v>
      </c>
      <c r="Z6">
        <v>2</v>
      </c>
      <c r="AA6">
        <v>6340</v>
      </c>
      <c r="AB6">
        <v>173</v>
      </c>
      <c r="AC6">
        <v>93</v>
      </c>
      <c r="AD6">
        <v>0</v>
      </c>
      <c r="AE6">
        <v>15</v>
      </c>
      <c r="AF6">
        <v>0</v>
      </c>
      <c r="AG6">
        <v>1</v>
      </c>
      <c r="AH6">
        <v>875</v>
      </c>
      <c r="AI6">
        <v>23</v>
      </c>
      <c r="AJ6">
        <v>0</v>
      </c>
      <c r="AK6">
        <v>0</v>
      </c>
      <c r="AL6">
        <v>8</v>
      </c>
      <c r="AM6">
        <f>SUM(B6:AL6)</f>
        <v>10435</v>
      </c>
    </row>
    <row r="7" spans="1:39" x14ac:dyDescent="0.25">
      <c r="A7" t="s">
        <v>72</v>
      </c>
      <c r="B7">
        <v>57</v>
      </c>
      <c r="C7">
        <v>1</v>
      </c>
      <c r="D7">
        <v>39</v>
      </c>
      <c r="E7">
        <v>411</v>
      </c>
      <c r="F7">
        <v>51</v>
      </c>
      <c r="G7">
        <v>5</v>
      </c>
      <c r="H7">
        <v>93</v>
      </c>
      <c r="I7">
        <v>439</v>
      </c>
      <c r="J7">
        <v>47</v>
      </c>
      <c r="K7">
        <v>126</v>
      </c>
      <c r="L7">
        <v>188</v>
      </c>
      <c r="M7">
        <v>33</v>
      </c>
      <c r="N7">
        <v>250</v>
      </c>
      <c r="O7">
        <v>597</v>
      </c>
      <c r="P7">
        <v>4</v>
      </c>
      <c r="Q7">
        <v>3</v>
      </c>
      <c r="R7">
        <v>1</v>
      </c>
      <c r="S7">
        <v>0</v>
      </c>
      <c r="T7">
        <v>53</v>
      </c>
      <c r="U7">
        <v>173</v>
      </c>
      <c r="V7">
        <v>286</v>
      </c>
      <c r="W7">
        <v>1</v>
      </c>
      <c r="X7">
        <v>210</v>
      </c>
      <c r="Y7">
        <v>103</v>
      </c>
      <c r="Z7">
        <v>2</v>
      </c>
      <c r="AA7">
        <v>3263</v>
      </c>
      <c r="AB7">
        <v>143</v>
      </c>
      <c r="AC7">
        <v>222</v>
      </c>
      <c r="AD7">
        <v>3</v>
      </c>
      <c r="AE7">
        <v>23</v>
      </c>
      <c r="AF7">
        <v>1</v>
      </c>
      <c r="AG7">
        <v>0</v>
      </c>
      <c r="AH7">
        <v>1403</v>
      </c>
      <c r="AI7">
        <v>26</v>
      </c>
      <c r="AJ7">
        <v>0</v>
      </c>
      <c r="AK7">
        <v>0</v>
      </c>
      <c r="AL7">
        <v>1</v>
      </c>
      <c r="AM7">
        <f>SUM(B7:AL7)</f>
        <v>8258</v>
      </c>
    </row>
    <row r="8" spans="1:39" x14ac:dyDescent="0.25">
      <c r="A8" t="s">
        <v>90</v>
      </c>
      <c r="B8">
        <v>22</v>
      </c>
      <c r="C8">
        <v>0</v>
      </c>
      <c r="D8">
        <v>15</v>
      </c>
      <c r="E8">
        <v>245</v>
      </c>
      <c r="F8">
        <v>43</v>
      </c>
      <c r="G8">
        <v>3</v>
      </c>
      <c r="H8">
        <v>46</v>
      </c>
      <c r="I8">
        <v>500</v>
      </c>
      <c r="J8">
        <v>16</v>
      </c>
      <c r="K8">
        <v>79</v>
      </c>
      <c r="L8">
        <v>60</v>
      </c>
      <c r="M8">
        <v>21</v>
      </c>
      <c r="N8">
        <v>198</v>
      </c>
      <c r="O8">
        <v>139</v>
      </c>
      <c r="P8">
        <v>2</v>
      </c>
      <c r="Q8">
        <v>0</v>
      </c>
      <c r="R8">
        <v>0</v>
      </c>
      <c r="S8">
        <v>0</v>
      </c>
      <c r="T8">
        <v>33</v>
      </c>
      <c r="U8">
        <v>77</v>
      </c>
      <c r="V8">
        <v>443</v>
      </c>
      <c r="W8">
        <v>0</v>
      </c>
      <c r="X8">
        <v>80</v>
      </c>
      <c r="Y8">
        <v>28</v>
      </c>
      <c r="Z8">
        <v>0</v>
      </c>
      <c r="AA8">
        <v>5114</v>
      </c>
      <c r="AB8">
        <v>93</v>
      </c>
      <c r="AC8">
        <v>77</v>
      </c>
      <c r="AD8">
        <v>0</v>
      </c>
      <c r="AE8">
        <v>10</v>
      </c>
      <c r="AF8">
        <v>5</v>
      </c>
      <c r="AG8">
        <v>0</v>
      </c>
      <c r="AH8">
        <v>526</v>
      </c>
      <c r="AI8">
        <v>9</v>
      </c>
      <c r="AJ8">
        <v>1</v>
      </c>
      <c r="AK8">
        <v>0</v>
      </c>
      <c r="AL8">
        <v>1</v>
      </c>
      <c r="AM8">
        <f>SUM(B8:AL8)</f>
        <v>7886</v>
      </c>
    </row>
    <row r="9" spans="1:39" x14ac:dyDescent="0.25">
      <c r="A9" t="s">
        <v>59</v>
      </c>
      <c r="B9">
        <v>61</v>
      </c>
      <c r="C9">
        <v>0</v>
      </c>
      <c r="D9">
        <v>10</v>
      </c>
      <c r="E9">
        <v>355</v>
      </c>
      <c r="F9">
        <v>46</v>
      </c>
      <c r="G9">
        <v>2</v>
      </c>
      <c r="H9">
        <v>38</v>
      </c>
      <c r="I9">
        <v>318</v>
      </c>
      <c r="J9">
        <v>15</v>
      </c>
      <c r="K9">
        <v>100</v>
      </c>
      <c r="L9">
        <v>71</v>
      </c>
      <c r="M9">
        <v>14</v>
      </c>
      <c r="N9">
        <v>247</v>
      </c>
      <c r="O9">
        <v>235</v>
      </c>
      <c r="P9">
        <v>0</v>
      </c>
      <c r="Q9">
        <v>0</v>
      </c>
      <c r="R9">
        <v>0</v>
      </c>
      <c r="S9">
        <v>0</v>
      </c>
      <c r="T9">
        <v>28</v>
      </c>
      <c r="U9">
        <v>122</v>
      </c>
      <c r="V9">
        <v>188</v>
      </c>
      <c r="W9">
        <v>0</v>
      </c>
      <c r="X9">
        <v>68</v>
      </c>
      <c r="Y9">
        <v>51</v>
      </c>
      <c r="Z9">
        <v>0</v>
      </c>
      <c r="AA9">
        <v>4954</v>
      </c>
      <c r="AB9">
        <v>101</v>
      </c>
      <c r="AC9">
        <v>63</v>
      </c>
      <c r="AD9">
        <v>0</v>
      </c>
      <c r="AE9">
        <v>10</v>
      </c>
      <c r="AF9">
        <v>0</v>
      </c>
      <c r="AG9">
        <v>0</v>
      </c>
      <c r="AH9">
        <v>571</v>
      </c>
      <c r="AI9">
        <v>7</v>
      </c>
      <c r="AJ9">
        <v>0</v>
      </c>
      <c r="AK9">
        <v>0</v>
      </c>
      <c r="AL9">
        <v>3</v>
      </c>
      <c r="AM9">
        <f>SUM(B9:AL9)</f>
        <v>7678</v>
      </c>
    </row>
    <row r="10" spans="1:39" x14ac:dyDescent="0.25">
      <c r="A10" t="s">
        <v>52</v>
      </c>
      <c r="B10">
        <v>41</v>
      </c>
      <c r="C10">
        <v>0</v>
      </c>
      <c r="D10">
        <v>12</v>
      </c>
      <c r="E10">
        <v>152</v>
      </c>
      <c r="F10">
        <v>11</v>
      </c>
      <c r="G10">
        <v>2</v>
      </c>
      <c r="H10">
        <v>33</v>
      </c>
      <c r="I10">
        <v>247</v>
      </c>
      <c r="J10">
        <v>19</v>
      </c>
      <c r="K10">
        <v>65</v>
      </c>
      <c r="L10">
        <v>69</v>
      </c>
      <c r="M10">
        <v>18</v>
      </c>
      <c r="N10">
        <v>146</v>
      </c>
      <c r="O10">
        <v>156</v>
      </c>
      <c r="P10">
        <v>0</v>
      </c>
      <c r="Q10">
        <v>0</v>
      </c>
      <c r="R10">
        <v>0</v>
      </c>
      <c r="S10">
        <v>0</v>
      </c>
      <c r="T10">
        <v>31</v>
      </c>
      <c r="U10">
        <v>109</v>
      </c>
      <c r="V10">
        <v>217</v>
      </c>
      <c r="W10">
        <v>0</v>
      </c>
      <c r="X10">
        <v>76</v>
      </c>
      <c r="Y10">
        <v>46</v>
      </c>
      <c r="Z10">
        <v>0</v>
      </c>
      <c r="AA10">
        <v>2302</v>
      </c>
      <c r="AB10">
        <v>80</v>
      </c>
      <c r="AC10">
        <v>47</v>
      </c>
      <c r="AD10">
        <v>0</v>
      </c>
      <c r="AE10">
        <v>13</v>
      </c>
      <c r="AF10">
        <v>0</v>
      </c>
      <c r="AG10">
        <v>0</v>
      </c>
      <c r="AH10">
        <v>609</v>
      </c>
      <c r="AI10">
        <v>11</v>
      </c>
      <c r="AJ10">
        <v>0</v>
      </c>
      <c r="AK10">
        <v>0</v>
      </c>
      <c r="AL10">
        <v>0</v>
      </c>
      <c r="AM10">
        <f>SUM(B10:AL10)</f>
        <v>4512</v>
      </c>
    </row>
    <row r="11" spans="1:39" x14ac:dyDescent="0.25">
      <c r="A11" t="s">
        <v>73</v>
      </c>
      <c r="B11">
        <v>6</v>
      </c>
      <c r="C11">
        <v>0</v>
      </c>
      <c r="D11">
        <v>8</v>
      </c>
      <c r="E11">
        <v>101</v>
      </c>
      <c r="F11">
        <v>13</v>
      </c>
      <c r="G11">
        <v>3</v>
      </c>
      <c r="H11">
        <v>14</v>
      </c>
      <c r="I11">
        <v>311</v>
      </c>
      <c r="J11">
        <v>2</v>
      </c>
      <c r="K11">
        <v>49</v>
      </c>
      <c r="L11">
        <v>24</v>
      </c>
      <c r="M11">
        <v>3</v>
      </c>
      <c r="N11">
        <v>154</v>
      </c>
      <c r="O11">
        <v>76</v>
      </c>
      <c r="P11">
        <v>1</v>
      </c>
      <c r="Q11">
        <v>2</v>
      </c>
      <c r="R11">
        <v>0</v>
      </c>
      <c r="S11">
        <v>2</v>
      </c>
      <c r="T11">
        <v>13</v>
      </c>
      <c r="U11">
        <v>43</v>
      </c>
      <c r="V11">
        <v>401</v>
      </c>
      <c r="W11">
        <v>0</v>
      </c>
      <c r="X11">
        <v>13</v>
      </c>
      <c r="Y11">
        <v>13</v>
      </c>
      <c r="Z11">
        <v>0</v>
      </c>
      <c r="AA11">
        <v>2093</v>
      </c>
      <c r="AB11">
        <v>59</v>
      </c>
      <c r="AC11">
        <v>25</v>
      </c>
      <c r="AD11">
        <v>0</v>
      </c>
      <c r="AE11">
        <v>12</v>
      </c>
      <c r="AF11">
        <v>1</v>
      </c>
      <c r="AG11">
        <v>0</v>
      </c>
      <c r="AH11">
        <v>266</v>
      </c>
      <c r="AI11">
        <v>2</v>
      </c>
      <c r="AJ11">
        <v>0</v>
      </c>
      <c r="AK11">
        <v>0</v>
      </c>
      <c r="AL11">
        <v>1</v>
      </c>
      <c r="AM11">
        <f>SUM(B11:AL11)</f>
        <v>3711</v>
      </c>
    </row>
    <row r="12" spans="1:39" x14ac:dyDescent="0.25">
      <c r="A12" t="s">
        <v>84</v>
      </c>
      <c r="B12">
        <v>49</v>
      </c>
      <c r="C12">
        <v>0</v>
      </c>
      <c r="D12">
        <v>21</v>
      </c>
      <c r="E12">
        <v>109</v>
      </c>
      <c r="F12">
        <v>27</v>
      </c>
      <c r="G12">
        <v>10</v>
      </c>
      <c r="H12">
        <v>70</v>
      </c>
      <c r="I12">
        <v>231</v>
      </c>
      <c r="J12">
        <v>19</v>
      </c>
      <c r="K12">
        <v>50</v>
      </c>
      <c r="L12">
        <v>145</v>
      </c>
      <c r="M12">
        <v>43</v>
      </c>
      <c r="N12">
        <v>218</v>
      </c>
      <c r="O12">
        <v>219</v>
      </c>
      <c r="P12">
        <v>0</v>
      </c>
      <c r="Q12">
        <v>0</v>
      </c>
      <c r="R12">
        <v>0</v>
      </c>
      <c r="S12">
        <v>1</v>
      </c>
      <c r="T12">
        <v>50</v>
      </c>
      <c r="U12">
        <v>97</v>
      </c>
      <c r="V12">
        <v>198</v>
      </c>
      <c r="W12">
        <v>3</v>
      </c>
      <c r="X12">
        <v>139</v>
      </c>
      <c r="Y12">
        <v>73</v>
      </c>
      <c r="Z12">
        <v>4</v>
      </c>
      <c r="AA12">
        <v>977</v>
      </c>
      <c r="AB12">
        <v>52</v>
      </c>
      <c r="AC12">
        <v>127</v>
      </c>
      <c r="AD12">
        <v>6</v>
      </c>
      <c r="AE12">
        <v>35</v>
      </c>
      <c r="AF12">
        <v>2</v>
      </c>
      <c r="AG12">
        <v>0</v>
      </c>
      <c r="AH12">
        <v>550</v>
      </c>
      <c r="AI12">
        <v>16</v>
      </c>
      <c r="AJ12">
        <v>0</v>
      </c>
      <c r="AK12">
        <v>0</v>
      </c>
      <c r="AL12">
        <v>10</v>
      </c>
      <c r="AM12">
        <f>SUM(B12:AL12)</f>
        <v>3551</v>
      </c>
    </row>
    <row r="13" spans="1:39" x14ac:dyDescent="0.25">
      <c r="A13" t="s">
        <v>45</v>
      </c>
      <c r="B13">
        <v>2</v>
      </c>
      <c r="C13">
        <v>0</v>
      </c>
      <c r="D13">
        <v>0</v>
      </c>
      <c r="E13">
        <v>27</v>
      </c>
      <c r="F13">
        <v>31</v>
      </c>
      <c r="G13">
        <v>2</v>
      </c>
      <c r="H13">
        <v>11</v>
      </c>
      <c r="I13">
        <v>127</v>
      </c>
      <c r="J13">
        <v>5</v>
      </c>
      <c r="K13">
        <v>19</v>
      </c>
      <c r="L13">
        <v>16</v>
      </c>
      <c r="M13">
        <v>4</v>
      </c>
      <c r="N13">
        <v>90</v>
      </c>
      <c r="O13">
        <v>37</v>
      </c>
      <c r="P13">
        <v>0</v>
      </c>
      <c r="Q13">
        <v>1</v>
      </c>
      <c r="R13">
        <v>0</v>
      </c>
      <c r="S13">
        <v>0</v>
      </c>
      <c r="T13">
        <v>10</v>
      </c>
      <c r="U13">
        <v>22</v>
      </c>
      <c r="V13">
        <v>85</v>
      </c>
      <c r="W13">
        <v>0</v>
      </c>
      <c r="X13">
        <v>10</v>
      </c>
      <c r="Y13">
        <v>12</v>
      </c>
      <c r="Z13">
        <v>0</v>
      </c>
      <c r="AA13">
        <v>1928</v>
      </c>
      <c r="AB13">
        <v>57</v>
      </c>
      <c r="AC13">
        <v>29</v>
      </c>
      <c r="AD13">
        <v>0</v>
      </c>
      <c r="AE13">
        <v>17</v>
      </c>
      <c r="AF13">
        <v>0</v>
      </c>
      <c r="AG13">
        <v>0</v>
      </c>
      <c r="AH13">
        <v>712</v>
      </c>
      <c r="AI13">
        <v>2</v>
      </c>
      <c r="AJ13">
        <v>0</v>
      </c>
      <c r="AK13">
        <v>0</v>
      </c>
      <c r="AL13">
        <v>2</v>
      </c>
      <c r="AM13">
        <f>SUM(B13:AL13)</f>
        <v>3258</v>
      </c>
    </row>
    <row r="14" spans="1:39" x14ac:dyDescent="0.25">
      <c r="A14" t="s">
        <v>67</v>
      </c>
      <c r="B14">
        <v>10</v>
      </c>
      <c r="C14">
        <v>0</v>
      </c>
      <c r="D14">
        <v>8</v>
      </c>
      <c r="E14">
        <v>88</v>
      </c>
      <c r="F14">
        <v>9</v>
      </c>
      <c r="G14">
        <v>1</v>
      </c>
      <c r="H14">
        <v>11</v>
      </c>
      <c r="I14">
        <v>185</v>
      </c>
      <c r="J14">
        <v>3</v>
      </c>
      <c r="K14">
        <v>26</v>
      </c>
      <c r="L14">
        <v>38</v>
      </c>
      <c r="M14">
        <v>13</v>
      </c>
      <c r="N14">
        <v>81</v>
      </c>
      <c r="O14">
        <v>61</v>
      </c>
      <c r="P14">
        <v>1</v>
      </c>
      <c r="Q14">
        <v>1</v>
      </c>
      <c r="R14">
        <v>1</v>
      </c>
      <c r="S14">
        <v>0</v>
      </c>
      <c r="T14">
        <v>8</v>
      </c>
      <c r="U14">
        <v>35</v>
      </c>
      <c r="V14">
        <v>164</v>
      </c>
      <c r="W14">
        <v>1</v>
      </c>
      <c r="X14">
        <v>54</v>
      </c>
      <c r="Y14">
        <v>14</v>
      </c>
      <c r="Z14">
        <v>2</v>
      </c>
      <c r="AA14">
        <v>1855</v>
      </c>
      <c r="AB14">
        <v>39</v>
      </c>
      <c r="AC14">
        <v>39</v>
      </c>
      <c r="AD14">
        <v>0</v>
      </c>
      <c r="AE14">
        <v>7</v>
      </c>
      <c r="AF14">
        <v>0</v>
      </c>
      <c r="AG14">
        <v>0</v>
      </c>
      <c r="AH14">
        <v>238</v>
      </c>
      <c r="AI14">
        <v>7</v>
      </c>
      <c r="AJ14">
        <v>0</v>
      </c>
      <c r="AK14">
        <v>0</v>
      </c>
      <c r="AL14">
        <v>0</v>
      </c>
      <c r="AM14">
        <f>SUM(B14:AL14)</f>
        <v>3000</v>
      </c>
    </row>
    <row r="15" spans="1:39" x14ac:dyDescent="0.25">
      <c r="A15" t="s">
        <v>46</v>
      </c>
      <c r="B15">
        <v>39</v>
      </c>
      <c r="C15">
        <v>0</v>
      </c>
      <c r="D15">
        <v>26</v>
      </c>
      <c r="E15">
        <v>125</v>
      </c>
      <c r="F15">
        <v>19</v>
      </c>
      <c r="G15">
        <v>6</v>
      </c>
      <c r="H15">
        <v>41</v>
      </c>
      <c r="I15">
        <v>157</v>
      </c>
      <c r="J15">
        <v>21</v>
      </c>
      <c r="K15">
        <v>54</v>
      </c>
      <c r="L15">
        <v>161</v>
      </c>
      <c r="M15">
        <v>38</v>
      </c>
      <c r="N15">
        <v>130</v>
      </c>
      <c r="O15">
        <v>166</v>
      </c>
      <c r="P15">
        <v>2</v>
      </c>
      <c r="Q15">
        <v>1</v>
      </c>
      <c r="R15">
        <v>0</v>
      </c>
      <c r="S15">
        <v>1</v>
      </c>
      <c r="T15">
        <v>25</v>
      </c>
      <c r="U15">
        <v>80</v>
      </c>
      <c r="V15">
        <v>136</v>
      </c>
      <c r="W15">
        <v>3</v>
      </c>
      <c r="X15">
        <v>127</v>
      </c>
      <c r="Y15">
        <v>57</v>
      </c>
      <c r="Z15">
        <v>1</v>
      </c>
      <c r="AA15">
        <v>763</v>
      </c>
      <c r="AB15">
        <v>43</v>
      </c>
      <c r="AC15">
        <v>110</v>
      </c>
      <c r="AD15">
        <v>1</v>
      </c>
      <c r="AE15">
        <v>15</v>
      </c>
      <c r="AF15">
        <v>0</v>
      </c>
      <c r="AG15">
        <v>3</v>
      </c>
      <c r="AH15">
        <v>575</v>
      </c>
      <c r="AI15">
        <v>18</v>
      </c>
      <c r="AJ15">
        <v>0</v>
      </c>
      <c r="AK15">
        <v>0</v>
      </c>
      <c r="AL15">
        <v>1</v>
      </c>
      <c r="AM15">
        <f>SUM(B15:AL15)</f>
        <v>2945</v>
      </c>
    </row>
    <row r="16" spans="1:39" x14ac:dyDescent="0.25">
      <c r="A16" t="s">
        <v>58</v>
      </c>
      <c r="B16">
        <v>23</v>
      </c>
      <c r="C16">
        <v>1</v>
      </c>
      <c r="D16">
        <v>23</v>
      </c>
      <c r="E16">
        <v>67</v>
      </c>
      <c r="F16">
        <v>26</v>
      </c>
      <c r="G16">
        <v>6</v>
      </c>
      <c r="H16">
        <v>56</v>
      </c>
      <c r="I16">
        <v>163</v>
      </c>
      <c r="J16">
        <v>18</v>
      </c>
      <c r="K16">
        <v>60</v>
      </c>
      <c r="L16">
        <v>74</v>
      </c>
      <c r="M16">
        <v>30</v>
      </c>
      <c r="N16">
        <v>165</v>
      </c>
      <c r="O16">
        <v>195</v>
      </c>
      <c r="P16">
        <v>2</v>
      </c>
      <c r="Q16">
        <v>4</v>
      </c>
      <c r="R16">
        <v>0</v>
      </c>
      <c r="S16">
        <v>0</v>
      </c>
      <c r="T16">
        <v>34</v>
      </c>
      <c r="U16">
        <v>69</v>
      </c>
      <c r="V16">
        <v>160</v>
      </c>
      <c r="W16">
        <v>1</v>
      </c>
      <c r="X16">
        <v>68</v>
      </c>
      <c r="Y16">
        <v>33</v>
      </c>
      <c r="Z16">
        <v>1</v>
      </c>
      <c r="AA16">
        <v>710</v>
      </c>
      <c r="AB16">
        <v>44</v>
      </c>
      <c r="AC16">
        <v>68</v>
      </c>
      <c r="AD16">
        <v>3</v>
      </c>
      <c r="AE16">
        <v>22</v>
      </c>
      <c r="AF16">
        <v>0</v>
      </c>
      <c r="AG16">
        <v>0</v>
      </c>
      <c r="AH16">
        <v>506</v>
      </c>
      <c r="AI16">
        <v>12</v>
      </c>
      <c r="AJ16">
        <v>0</v>
      </c>
      <c r="AK16">
        <v>0</v>
      </c>
      <c r="AL16">
        <v>13</v>
      </c>
      <c r="AM16">
        <f>SUM(B16:AL16)</f>
        <v>2657</v>
      </c>
    </row>
    <row r="17" spans="1:39" x14ac:dyDescent="0.25">
      <c r="A17" t="s">
        <v>74</v>
      </c>
      <c r="B17">
        <v>8</v>
      </c>
      <c r="C17">
        <v>0</v>
      </c>
      <c r="D17">
        <v>3</v>
      </c>
      <c r="E17">
        <v>101</v>
      </c>
      <c r="F17">
        <v>12</v>
      </c>
      <c r="G17">
        <v>0</v>
      </c>
      <c r="H17">
        <v>12</v>
      </c>
      <c r="I17">
        <v>136</v>
      </c>
      <c r="J17">
        <v>3</v>
      </c>
      <c r="K17">
        <v>16</v>
      </c>
      <c r="L17">
        <v>12</v>
      </c>
      <c r="M17">
        <v>5</v>
      </c>
      <c r="N17">
        <v>55</v>
      </c>
      <c r="O17">
        <v>52</v>
      </c>
      <c r="P17">
        <v>0</v>
      </c>
      <c r="Q17">
        <v>2</v>
      </c>
      <c r="R17">
        <v>0</v>
      </c>
      <c r="S17">
        <v>1</v>
      </c>
      <c r="T17">
        <v>8</v>
      </c>
      <c r="U17">
        <v>22</v>
      </c>
      <c r="V17">
        <v>129</v>
      </c>
      <c r="W17">
        <v>0</v>
      </c>
      <c r="X17">
        <v>23</v>
      </c>
      <c r="Y17">
        <v>16</v>
      </c>
      <c r="Z17">
        <v>0</v>
      </c>
      <c r="AA17">
        <v>1778</v>
      </c>
      <c r="AB17">
        <v>30</v>
      </c>
      <c r="AC17">
        <v>24</v>
      </c>
      <c r="AD17">
        <v>0</v>
      </c>
      <c r="AE17">
        <v>3</v>
      </c>
      <c r="AF17">
        <v>1</v>
      </c>
      <c r="AG17">
        <v>0</v>
      </c>
      <c r="AH17">
        <v>121</v>
      </c>
      <c r="AI17">
        <v>2</v>
      </c>
      <c r="AJ17">
        <v>0</v>
      </c>
      <c r="AK17">
        <v>0</v>
      </c>
      <c r="AL17">
        <v>0</v>
      </c>
      <c r="AM17">
        <f>SUM(B17:AL17)</f>
        <v>2575</v>
      </c>
    </row>
    <row r="18" spans="1:39" x14ac:dyDescent="0.25">
      <c r="A18" t="s">
        <v>76</v>
      </c>
      <c r="B18">
        <v>6</v>
      </c>
      <c r="C18">
        <v>0</v>
      </c>
      <c r="D18">
        <v>1</v>
      </c>
      <c r="E18">
        <v>91</v>
      </c>
      <c r="F18">
        <v>11</v>
      </c>
      <c r="G18">
        <v>0</v>
      </c>
      <c r="H18">
        <v>16</v>
      </c>
      <c r="I18">
        <v>74</v>
      </c>
      <c r="J18">
        <v>2</v>
      </c>
      <c r="K18">
        <v>23</v>
      </c>
      <c r="L18">
        <v>24</v>
      </c>
      <c r="M18">
        <v>2</v>
      </c>
      <c r="N18">
        <v>78</v>
      </c>
      <c r="O18">
        <v>42</v>
      </c>
      <c r="P18">
        <v>0</v>
      </c>
      <c r="Q18">
        <v>0</v>
      </c>
      <c r="R18">
        <v>0</v>
      </c>
      <c r="S18">
        <v>0</v>
      </c>
      <c r="T18">
        <v>3</v>
      </c>
      <c r="U18">
        <v>20</v>
      </c>
      <c r="V18">
        <v>131</v>
      </c>
      <c r="W18">
        <v>1</v>
      </c>
      <c r="X18">
        <v>36</v>
      </c>
      <c r="Y18">
        <v>9</v>
      </c>
      <c r="Z18">
        <v>1</v>
      </c>
      <c r="AA18">
        <v>1507</v>
      </c>
      <c r="AB18">
        <v>44</v>
      </c>
      <c r="AC18">
        <v>22</v>
      </c>
      <c r="AD18">
        <v>0</v>
      </c>
      <c r="AE18">
        <v>3</v>
      </c>
      <c r="AF18">
        <v>0</v>
      </c>
      <c r="AG18">
        <v>0</v>
      </c>
      <c r="AH18">
        <v>249</v>
      </c>
      <c r="AI18">
        <v>2</v>
      </c>
      <c r="AJ18">
        <v>0</v>
      </c>
      <c r="AK18">
        <v>0</v>
      </c>
      <c r="AL18">
        <v>0</v>
      </c>
      <c r="AM18">
        <f>SUM(B18:AL18)</f>
        <v>2398</v>
      </c>
    </row>
    <row r="19" spans="1:39" x14ac:dyDescent="0.25">
      <c r="A19" t="s">
        <v>41</v>
      </c>
      <c r="B19">
        <v>16</v>
      </c>
      <c r="C19">
        <v>2</v>
      </c>
      <c r="D19">
        <v>10</v>
      </c>
      <c r="E19">
        <v>97</v>
      </c>
      <c r="F19">
        <v>8</v>
      </c>
      <c r="G19">
        <v>2</v>
      </c>
      <c r="H19">
        <v>19</v>
      </c>
      <c r="I19">
        <v>59</v>
      </c>
      <c r="J19">
        <v>9</v>
      </c>
      <c r="K19">
        <v>30</v>
      </c>
      <c r="L19">
        <v>33</v>
      </c>
      <c r="M19">
        <v>8</v>
      </c>
      <c r="N19">
        <v>82</v>
      </c>
      <c r="O19">
        <v>84</v>
      </c>
      <c r="P19">
        <v>2</v>
      </c>
      <c r="Q19">
        <v>1</v>
      </c>
      <c r="R19">
        <v>0</v>
      </c>
      <c r="S19">
        <v>0</v>
      </c>
      <c r="T19">
        <v>11</v>
      </c>
      <c r="U19">
        <v>23</v>
      </c>
      <c r="V19">
        <v>118</v>
      </c>
      <c r="W19">
        <v>0</v>
      </c>
      <c r="X19">
        <v>56</v>
      </c>
      <c r="Y19">
        <v>17</v>
      </c>
      <c r="Z19">
        <v>2</v>
      </c>
      <c r="AA19">
        <v>811</v>
      </c>
      <c r="AB19">
        <v>32</v>
      </c>
      <c r="AC19">
        <v>37</v>
      </c>
      <c r="AD19">
        <v>0</v>
      </c>
      <c r="AE19">
        <v>2</v>
      </c>
      <c r="AF19">
        <v>1</v>
      </c>
      <c r="AG19">
        <v>0</v>
      </c>
      <c r="AH19">
        <v>176</v>
      </c>
      <c r="AI19">
        <v>9</v>
      </c>
      <c r="AJ19">
        <v>0</v>
      </c>
      <c r="AK19">
        <v>0</v>
      </c>
      <c r="AL19">
        <v>1</v>
      </c>
      <c r="AM19">
        <f>SUM(B19:AL19)</f>
        <v>1758</v>
      </c>
    </row>
    <row r="20" spans="1:39" x14ac:dyDescent="0.25">
      <c r="A20" t="s">
        <v>40</v>
      </c>
      <c r="B20">
        <v>1</v>
      </c>
      <c r="C20">
        <v>0</v>
      </c>
      <c r="D20">
        <v>2</v>
      </c>
      <c r="E20">
        <v>45</v>
      </c>
      <c r="F20">
        <v>5</v>
      </c>
      <c r="G20">
        <v>0</v>
      </c>
      <c r="H20">
        <v>3</v>
      </c>
      <c r="I20">
        <v>112</v>
      </c>
      <c r="J20">
        <v>2</v>
      </c>
      <c r="K20">
        <v>9</v>
      </c>
      <c r="L20">
        <v>3</v>
      </c>
      <c r="M20">
        <v>1</v>
      </c>
      <c r="N20">
        <v>31</v>
      </c>
      <c r="O20">
        <v>10</v>
      </c>
      <c r="P20">
        <v>0</v>
      </c>
      <c r="Q20">
        <v>0</v>
      </c>
      <c r="R20">
        <v>0</v>
      </c>
      <c r="S20">
        <v>0</v>
      </c>
      <c r="T20">
        <v>1</v>
      </c>
      <c r="U20">
        <v>11</v>
      </c>
      <c r="V20">
        <v>119</v>
      </c>
      <c r="W20">
        <v>0</v>
      </c>
      <c r="X20">
        <v>12</v>
      </c>
      <c r="Y20">
        <v>3</v>
      </c>
      <c r="Z20">
        <v>0</v>
      </c>
      <c r="AA20">
        <v>1208</v>
      </c>
      <c r="AB20">
        <v>25</v>
      </c>
      <c r="AC20">
        <v>10</v>
      </c>
      <c r="AD20">
        <v>0</v>
      </c>
      <c r="AE20">
        <v>1</v>
      </c>
      <c r="AF20">
        <v>0</v>
      </c>
      <c r="AG20">
        <v>0</v>
      </c>
      <c r="AH20">
        <v>113</v>
      </c>
      <c r="AI20">
        <v>0</v>
      </c>
      <c r="AJ20">
        <v>0</v>
      </c>
      <c r="AK20">
        <v>0</v>
      </c>
      <c r="AL20">
        <v>0</v>
      </c>
      <c r="AM20">
        <f>SUM(B20:AL20)</f>
        <v>1727</v>
      </c>
    </row>
    <row r="21" spans="1:39" x14ac:dyDescent="0.25">
      <c r="A21" t="s">
        <v>61</v>
      </c>
      <c r="B21">
        <v>5</v>
      </c>
      <c r="C21">
        <v>0</v>
      </c>
      <c r="D21">
        <v>4</v>
      </c>
      <c r="E21">
        <v>51</v>
      </c>
      <c r="F21">
        <v>4</v>
      </c>
      <c r="G21">
        <v>0</v>
      </c>
      <c r="H21">
        <v>4</v>
      </c>
      <c r="I21">
        <v>101</v>
      </c>
      <c r="J21">
        <v>5</v>
      </c>
      <c r="K21">
        <v>17</v>
      </c>
      <c r="L21">
        <v>3</v>
      </c>
      <c r="M21">
        <v>0</v>
      </c>
      <c r="N21">
        <v>61</v>
      </c>
      <c r="O21">
        <v>16</v>
      </c>
      <c r="P21">
        <v>1</v>
      </c>
      <c r="Q21">
        <v>0</v>
      </c>
      <c r="R21">
        <v>0</v>
      </c>
      <c r="S21">
        <v>0</v>
      </c>
      <c r="T21">
        <v>11</v>
      </c>
      <c r="U21">
        <v>17</v>
      </c>
      <c r="V21">
        <v>84</v>
      </c>
      <c r="W21">
        <v>0</v>
      </c>
      <c r="X21">
        <v>9</v>
      </c>
      <c r="Y21">
        <v>5</v>
      </c>
      <c r="Z21">
        <v>0</v>
      </c>
      <c r="AA21">
        <v>1144</v>
      </c>
      <c r="AB21">
        <v>20</v>
      </c>
      <c r="AC21">
        <v>15</v>
      </c>
      <c r="AD21">
        <v>0</v>
      </c>
      <c r="AE21">
        <v>0</v>
      </c>
      <c r="AF21">
        <v>0</v>
      </c>
      <c r="AG21">
        <v>0</v>
      </c>
      <c r="AH21">
        <v>132</v>
      </c>
      <c r="AI21">
        <v>1</v>
      </c>
      <c r="AJ21">
        <v>0</v>
      </c>
      <c r="AK21">
        <v>0</v>
      </c>
      <c r="AL21">
        <v>2</v>
      </c>
      <c r="AM21">
        <f>SUM(B21:AL21)</f>
        <v>1712</v>
      </c>
    </row>
    <row r="22" spans="1:39" x14ac:dyDescent="0.25">
      <c r="A22" t="s">
        <v>51</v>
      </c>
      <c r="B22">
        <v>2</v>
      </c>
      <c r="C22">
        <v>0</v>
      </c>
      <c r="D22">
        <v>4</v>
      </c>
      <c r="E22">
        <v>74</v>
      </c>
      <c r="F22">
        <v>6</v>
      </c>
      <c r="G22">
        <v>0</v>
      </c>
      <c r="H22">
        <v>5</v>
      </c>
      <c r="I22">
        <v>84</v>
      </c>
      <c r="J22">
        <v>4</v>
      </c>
      <c r="K22">
        <v>58</v>
      </c>
      <c r="L22">
        <v>3</v>
      </c>
      <c r="M22">
        <v>2</v>
      </c>
      <c r="N22">
        <v>76</v>
      </c>
      <c r="O22">
        <v>25</v>
      </c>
      <c r="P22">
        <v>0</v>
      </c>
      <c r="Q22">
        <v>0</v>
      </c>
      <c r="R22">
        <v>0</v>
      </c>
      <c r="S22">
        <v>0</v>
      </c>
      <c r="T22">
        <v>18</v>
      </c>
      <c r="U22">
        <v>8</v>
      </c>
      <c r="V22">
        <v>189</v>
      </c>
      <c r="W22">
        <v>0</v>
      </c>
      <c r="X22">
        <v>6</v>
      </c>
      <c r="Y22">
        <v>4</v>
      </c>
      <c r="Z22">
        <v>0</v>
      </c>
      <c r="AA22">
        <v>908</v>
      </c>
      <c r="AB22">
        <v>33</v>
      </c>
      <c r="AC22">
        <v>10</v>
      </c>
      <c r="AD22">
        <v>0</v>
      </c>
      <c r="AE22">
        <v>0</v>
      </c>
      <c r="AF22">
        <v>0</v>
      </c>
      <c r="AG22">
        <v>0</v>
      </c>
      <c r="AH22">
        <v>103</v>
      </c>
      <c r="AI22">
        <v>2</v>
      </c>
      <c r="AJ22">
        <v>0</v>
      </c>
      <c r="AK22">
        <v>0</v>
      </c>
      <c r="AL22">
        <v>0</v>
      </c>
      <c r="AM22">
        <f>SUM(B22:AL22)</f>
        <v>1624</v>
      </c>
    </row>
    <row r="23" spans="1:39" x14ac:dyDescent="0.25">
      <c r="A23" t="s">
        <v>42</v>
      </c>
      <c r="B23">
        <v>4</v>
      </c>
      <c r="C23">
        <v>1</v>
      </c>
      <c r="D23">
        <v>1</v>
      </c>
      <c r="E23">
        <v>44</v>
      </c>
      <c r="F23">
        <v>4</v>
      </c>
      <c r="G23">
        <v>0</v>
      </c>
      <c r="H23">
        <v>7</v>
      </c>
      <c r="I23">
        <v>67</v>
      </c>
      <c r="J23">
        <v>1</v>
      </c>
      <c r="K23">
        <v>12</v>
      </c>
      <c r="L23">
        <v>6</v>
      </c>
      <c r="M23">
        <v>0</v>
      </c>
      <c r="N23">
        <v>36</v>
      </c>
      <c r="O23">
        <v>24</v>
      </c>
      <c r="P23">
        <v>1</v>
      </c>
      <c r="Q23">
        <v>1</v>
      </c>
      <c r="R23">
        <v>0</v>
      </c>
      <c r="S23">
        <v>0</v>
      </c>
      <c r="T23">
        <v>4</v>
      </c>
      <c r="U23">
        <v>15</v>
      </c>
      <c r="V23">
        <v>73</v>
      </c>
      <c r="W23">
        <v>1</v>
      </c>
      <c r="X23">
        <v>12</v>
      </c>
      <c r="Y23">
        <v>2</v>
      </c>
      <c r="Z23">
        <v>1</v>
      </c>
      <c r="AA23">
        <v>866</v>
      </c>
      <c r="AB23">
        <v>28</v>
      </c>
      <c r="AC23">
        <v>8</v>
      </c>
      <c r="AD23">
        <v>0</v>
      </c>
      <c r="AE23">
        <v>0</v>
      </c>
      <c r="AF23">
        <v>0</v>
      </c>
      <c r="AG23">
        <v>0</v>
      </c>
      <c r="AH23">
        <v>213</v>
      </c>
      <c r="AI23">
        <v>2</v>
      </c>
      <c r="AJ23">
        <v>0</v>
      </c>
      <c r="AK23">
        <v>0</v>
      </c>
      <c r="AL23">
        <v>0</v>
      </c>
      <c r="AM23">
        <f>SUM(B23:AL23)</f>
        <v>1434</v>
      </c>
    </row>
    <row r="24" spans="1:39" x14ac:dyDescent="0.25">
      <c r="A24" t="s">
        <v>53</v>
      </c>
      <c r="B24">
        <v>5</v>
      </c>
      <c r="C24">
        <v>0</v>
      </c>
      <c r="D24">
        <v>3</v>
      </c>
      <c r="E24">
        <v>88</v>
      </c>
      <c r="F24">
        <v>12</v>
      </c>
      <c r="G24">
        <v>0</v>
      </c>
      <c r="H24">
        <v>5</v>
      </c>
      <c r="I24">
        <v>66</v>
      </c>
      <c r="J24">
        <v>4</v>
      </c>
      <c r="K24">
        <v>25</v>
      </c>
      <c r="L24">
        <v>3</v>
      </c>
      <c r="M24">
        <v>0</v>
      </c>
      <c r="N24">
        <v>64</v>
      </c>
      <c r="O24">
        <v>12</v>
      </c>
      <c r="P24">
        <v>0</v>
      </c>
      <c r="Q24">
        <v>0</v>
      </c>
      <c r="R24">
        <v>0</v>
      </c>
      <c r="S24">
        <v>0</v>
      </c>
      <c r="T24">
        <v>7</v>
      </c>
      <c r="U24">
        <v>9</v>
      </c>
      <c r="V24">
        <v>137</v>
      </c>
      <c r="W24">
        <v>0</v>
      </c>
      <c r="X24">
        <v>3</v>
      </c>
      <c r="Y24">
        <v>5</v>
      </c>
      <c r="Z24">
        <v>0</v>
      </c>
      <c r="AA24">
        <v>733</v>
      </c>
      <c r="AB24">
        <v>21</v>
      </c>
      <c r="AC24">
        <v>3</v>
      </c>
      <c r="AD24">
        <v>0</v>
      </c>
      <c r="AE24">
        <v>4</v>
      </c>
      <c r="AF24">
        <v>0</v>
      </c>
      <c r="AG24">
        <v>0</v>
      </c>
      <c r="AH24">
        <v>85</v>
      </c>
      <c r="AI24">
        <v>3</v>
      </c>
      <c r="AJ24">
        <v>0</v>
      </c>
      <c r="AK24">
        <v>0</v>
      </c>
      <c r="AL24">
        <v>0</v>
      </c>
      <c r="AM24">
        <f>SUM(B24:AL24)</f>
        <v>1297</v>
      </c>
    </row>
    <row r="25" spans="1:39" x14ac:dyDescent="0.25">
      <c r="A25" t="s">
        <v>55</v>
      </c>
      <c r="B25">
        <v>15</v>
      </c>
      <c r="C25">
        <v>1</v>
      </c>
      <c r="D25">
        <v>5</v>
      </c>
      <c r="E25">
        <v>38</v>
      </c>
      <c r="F25">
        <v>17</v>
      </c>
      <c r="G25">
        <v>2</v>
      </c>
      <c r="H25">
        <v>22</v>
      </c>
      <c r="I25">
        <v>59</v>
      </c>
      <c r="J25">
        <v>7</v>
      </c>
      <c r="K25">
        <v>22</v>
      </c>
      <c r="L25">
        <v>29</v>
      </c>
      <c r="M25">
        <v>20</v>
      </c>
      <c r="N25">
        <v>27</v>
      </c>
      <c r="O25">
        <v>92</v>
      </c>
      <c r="P25">
        <v>0</v>
      </c>
      <c r="Q25">
        <v>1</v>
      </c>
      <c r="R25">
        <v>0</v>
      </c>
      <c r="S25">
        <v>0</v>
      </c>
      <c r="T25">
        <v>9</v>
      </c>
      <c r="U25">
        <v>16</v>
      </c>
      <c r="V25">
        <v>60</v>
      </c>
      <c r="W25">
        <v>0</v>
      </c>
      <c r="X25">
        <v>35</v>
      </c>
      <c r="Y25">
        <v>30</v>
      </c>
      <c r="Z25">
        <v>0</v>
      </c>
      <c r="AA25">
        <v>390</v>
      </c>
      <c r="AB25">
        <v>23</v>
      </c>
      <c r="AC25">
        <v>43</v>
      </c>
      <c r="AD25">
        <v>0</v>
      </c>
      <c r="AE25">
        <v>3</v>
      </c>
      <c r="AF25">
        <v>0</v>
      </c>
      <c r="AG25">
        <v>1</v>
      </c>
      <c r="AH25">
        <v>177</v>
      </c>
      <c r="AI25">
        <v>6</v>
      </c>
      <c r="AJ25">
        <v>0</v>
      </c>
      <c r="AK25">
        <v>0</v>
      </c>
      <c r="AL25">
        <v>3</v>
      </c>
      <c r="AM25">
        <f>SUM(B25:AL25)</f>
        <v>1153</v>
      </c>
    </row>
    <row r="26" spans="1:39" x14ac:dyDescent="0.25">
      <c r="A26" t="s">
        <v>49</v>
      </c>
      <c r="B26">
        <v>12</v>
      </c>
      <c r="C26">
        <v>0</v>
      </c>
      <c r="D26">
        <v>4</v>
      </c>
      <c r="E26">
        <v>32</v>
      </c>
      <c r="F26">
        <v>7</v>
      </c>
      <c r="G26">
        <v>1</v>
      </c>
      <c r="H26">
        <v>23</v>
      </c>
      <c r="I26">
        <v>46</v>
      </c>
      <c r="J26">
        <v>11</v>
      </c>
      <c r="K26">
        <v>13</v>
      </c>
      <c r="L26">
        <v>29</v>
      </c>
      <c r="M26">
        <v>7</v>
      </c>
      <c r="N26">
        <v>38</v>
      </c>
      <c r="O26">
        <v>80</v>
      </c>
      <c r="P26">
        <v>2</v>
      </c>
      <c r="Q26">
        <v>0</v>
      </c>
      <c r="R26">
        <v>0</v>
      </c>
      <c r="S26">
        <v>1</v>
      </c>
      <c r="T26">
        <v>16</v>
      </c>
      <c r="U26">
        <v>13</v>
      </c>
      <c r="V26">
        <v>46</v>
      </c>
      <c r="W26">
        <v>1</v>
      </c>
      <c r="X26">
        <v>51</v>
      </c>
      <c r="Y26">
        <v>14</v>
      </c>
      <c r="Z26">
        <v>0</v>
      </c>
      <c r="AA26">
        <v>240</v>
      </c>
      <c r="AB26">
        <v>18</v>
      </c>
      <c r="AC26">
        <v>41</v>
      </c>
      <c r="AD26">
        <v>1</v>
      </c>
      <c r="AE26">
        <v>8</v>
      </c>
      <c r="AF26">
        <v>0</v>
      </c>
      <c r="AG26">
        <v>1</v>
      </c>
      <c r="AH26">
        <v>138</v>
      </c>
      <c r="AI26">
        <v>3</v>
      </c>
      <c r="AJ26">
        <v>0</v>
      </c>
      <c r="AK26">
        <v>0</v>
      </c>
      <c r="AL26">
        <v>3</v>
      </c>
      <c r="AM26">
        <f>SUM(B26:AL26)</f>
        <v>900</v>
      </c>
    </row>
    <row r="27" spans="1:39" x14ac:dyDescent="0.25">
      <c r="A27" t="s">
        <v>77</v>
      </c>
      <c r="B27">
        <v>10</v>
      </c>
      <c r="C27">
        <v>0</v>
      </c>
      <c r="D27">
        <v>2</v>
      </c>
      <c r="E27">
        <v>48</v>
      </c>
      <c r="F27">
        <v>2</v>
      </c>
      <c r="G27">
        <v>0</v>
      </c>
      <c r="H27">
        <v>13</v>
      </c>
      <c r="I27">
        <v>24</v>
      </c>
      <c r="J27">
        <v>1</v>
      </c>
      <c r="K27">
        <v>11</v>
      </c>
      <c r="L27">
        <v>21</v>
      </c>
      <c r="M27">
        <v>2</v>
      </c>
      <c r="N27">
        <v>24</v>
      </c>
      <c r="O27">
        <v>24</v>
      </c>
      <c r="P27">
        <v>0</v>
      </c>
      <c r="Q27">
        <v>0</v>
      </c>
      <c r="R27">
        <v>0</v>
      </c>
      <c r="S27">
        <v>1</v>
      </c>
      <c r="T27">
        <v>5</v>
      </c>
      <c r="U27">
        <v>4</v>
      </c>
      <c r="V27">
        <v>60</v>
      </c>
      <c r="W27">
        <v>0</v>
      </c>
      <c r="X27">
        <v>18</v>
      </c>
      <c r="Y27">
        <v>8</v>
      </c>
      <c r="Z27">
        <v>0</v>
      </c>
      <c r="AA27">
        <v>522</v>
      </c>
      <c r="AB27">
        <v>16</v>
      </c>
      <c r="AC27">
        <v>4</v>
      </c>
      <c r="AD27">
        <v>0</v>
      </c>
      <c r="AE27">
        <v>1</v>
      </c>
      <c r="AF27">
        <v>0</v>
      </c>
      <c r="AG27">
        <v>1</v>
      </c>
      <c r="AH27">
        <v>67</v>
      </c>
      <c r="AI27">
        <v>5</v>
      </c>
      <c r="AJ27">
        <v>0</v>
      </c>
      <c r="AK27">
        <v>0</v>
      </c>
      <c r="AL27">
        <v>0</v>
      </c>
      <c r="AM27">
        <f>SUM(B27:AL27)</f>
        <v>894</v>
      </c>
    </row>
    <row r="28" spans="1:39" x14ac:dyDescent="0.25">
      <c r="A28" t="s">
        <v>39</v>
      </c>
      <c r="B28">
        <v>7</v>
      </c>
      <c r="C28">
        <v>0</v>
      </c>
      <c r="D28">
        <v>7</v>
      </c>
      <c r="E28">
        <v>48</v>
      </c>
      <c r="F28">
        <v>2</v>
      </c>
      <c r="G28">
        <v>0</v>
      </c>
      <c r="H28">
        <v>18</v>
      </c>
      <c r="I28">
        <v>52</v>
      </c>
      <c r="J28">
        <v>11</v>
      </c>
      <c r="K28">
        <v>10</v>
      </c>
      <c r="L28">
        <v>12</v>
      </c>
      <c r="M28">
        <v>8</v>
      </c>
      <c r="N28">
        <v>31</v>
      </c>
      <c r="O28">
        <v>47</v>
      </c>
      <c r="P28">
        <v>3</v>
      </c>
      <c r="Q28">
        <v>0</v>
      </c>
      <c r="R28">
        <v>0</v>
      </c>
      <c r="S28">
        <v>1</v>
      </c>
      <c r="T28">
        <v>11</v>
      </c>
      <c r="U28">
        <v>18</v>
      </c>
      <c r="V28">
        <v>33</v>
      </c>
      <c r="W28">
        <v>0</v>
      </c>
      <c r="X28">
        <v>22</v>
      </c>
      <c r="Y28">
        <v>10</v>
      </c>
      <c r="Z28">
        <v>0</v>
      </c>
      <c r="AA28">
        <v>323</v>
      </c>
      <c r="AB28">
        <v>8</v>
      </c>
      <c r="AC28">
        <v>27</v>
      </c>
      <c r="AD28">
        <v>0</v>
      </c>
      <c r="AE28">
        <v>1</v>
      </c>
      <c r="AF28">
        <v>0</v>
      </c>
      <c r="AG28">
        <v>0</v>
      </c>
      <c r="AH28">
        <v>107</v>
      </c>
      <c r="AI28">
        <v>3</v>
      </c>
      <c r="AJ28">
        <v>0</v>
      </c>
      <c r="AK28">
        <v>0</v>
      </c>
      <c r="AL28">
        <v>0</v>
      </c>
      <c r="AM28">
        <f>SUM(B28:AL28)</f>
        <v>820</v>
      </c>
    </row>
    <row r="29" spans="1:39" x14ac:dyDescent="0.25">
      <c r="A29" t="s">
        <v>86</v>
      </c>
      <c r="B29">
        <v>12</v>
      </c>
      <c r="C29">
        <v>0</v>
      </c>
      <c r="D29">
        <v>5</v>
      </c>
      <c r="E29">
        <v>37</v>
      </c>
      <c r="F29">
        <v>5</v>
      </c>
      <c r="G29">
        <v>1</v>
      </c>
      <c r="H29">
        <v>17</v>
      </c>
      <c r="I29">
        <v>41</v>
      </c>
      <c r="J29">
        <v>9</v>
      </c>
      <c r="K29">
        <v>14</v>
      </c>
      <c r="L29">
        <v>58</v>
      </c>
      <c r="M29">
        <v>3</v>
      </c>
      <c r="N29">
        <v>18</v>
      </c>
      <c r="O29">
        <v>90</v>
      </c>
      <c r="P29">
        <v>0</v>
      </c>
      <c r="Q29">
        <v>0</v>
      </c>
      <c r="R29">
        <v>0</v>
      </c>
      <c r="S29">
        <v>0</v>
      </c>
      <c r="T29">
        <v>4</v>
      </c>
      <c r="U29">
        <v>16</v>
      </c>
      <c r="V29">
        <v>30</v>
      </c>
      <c r="W29">
        <v>0</v>
      </c>
      <c r="X29">
        <v>32</v>
      </c>
      <c r="Y29">
        <v>21</v>
      </c>
      <c r="Z29">
        <v>0</v>
      </c>
      <c r="AA29">
        <v>186</v>
      </c>
      <c r="AB29">
        <v>19</v>
      </c>
      <c r="AC29">
        <v>27</v>
      </c>
      <c r="AD29">
        <v>0</v>
      </c>
      <c r="AE29">
        <v>3</v>
      </c>
      <c r="AF29">
        <v>0</v>
      </c>
      <c r="AG29">
        <v>0</v>
      </c>
      <c r="AH29">
        <v>165</v>
      </c>
      <c r="AI29">
        <v>1</v>
      </c>
      <c r="AJ29">
        <v>0</v>
      </c>
      <c r="AK29">
        <v>0</v>
      </c>
      <c r="AL29">
        <v>0</v>
      </c>
      <c r="AM29">
        <f>SUM(B29:AL29)</f>
        <v>814</v>
      </c>
    </row>
    <row r="30" spans="1:39" x14ac:dyDescent="0.25">
      <c r="A30" t="s">
        <v>60</v>
      </c>
      <c r="B30">
        <v>15</v>
      </c>
      <c r="C30">
        <v>0</v>
      </c>
      <c r="D30">
        <v>5</v>
      </c>
      <c r="E30">
        <v>27</v>
      </c>
      <c r="F30">
        <v>6</v>
      </c>
      <c r="G30">
        <v>0</v>
      </c>
      <c r="H30">
        <v>15</v>
      </c>
      <c r="I30">
        <v>42</v>
      </c>
      <c r="J30">
        <v>3</v>
      </c>
      <c r="K30">
        <v>10</v>
      </c>
      <c r="L30">
        <v>40</v>
      </c>
      <c r="M30">
        <v>14</v>
      </c>
      <c r="N30">
        <v>25</v>
      </c>
      <c r="O30">
        <v>58</v>
      </c>
      <c r="P30">
        <v>0</v>
      </c>
      <c r="Q30">
        <v>0</v>
      </c>
      <c r="R30">
        <v>0</v>
      </c>
      <c r="S30">
        <v>0</v>
      </c>
      <c r="T30">
        <v>13</v>
      </c>
      <c r="U30">
        <v>17</v>
      </c>
      <c r="V30">
        <v>47</v>
      </c>
      <c r="W30">
        <v>0</v>
      </c>
      <c r="X30">
        <v>54</v>
      </c>
      <c r="Y30">
        <v>24</v>
      </c>
      <c r="Z30">
        <v>1</v>
      </c>
      <c r="AA30">
        <v>186</v>
      </c>
      <c r="AB30">
        <v>14</v>
      </c>
      <c r="AC30">
        <v>26</v>
      </c>
      <c r="AD30">
        <v>0</v>
      </c>
      <c r="AE30">
        <v>4</v>
      </c>
      <c r="AF30">
        <v>0</v>
      </c>
      <c r="AG30">
        <v>2</v>
      </c>
      <c r="AH30">
        <v>102</v>
      </c>
      <c r="AI30">
        <v>4</v>
      </c>
      <c r="AJ30">
        <v>0</v>
      </c>
      <c r="AK30">
        <v>0</v>
      </c>
      <c r="AL30">
        <v>1</v>
      </c>
      <c r="AM30">
        <f>SUM(B30:AL30)</f>
        <v>755</v>
      </c>
    </row>
    <row r="31" spans="1:39" x14ac:dyDescent="0.25">
      <c r="A31" t="s">
        <v>82</v>
      </c>
      <c r="B31">
        <v>11</v>
      </c>
      <c r="C31">
        <v>0</v>
      </c>
      <c r="D31">
        <v>4</v>
      </c>
      <c r="E31">
        <v>33</v>
      </c>
      <c r="F31">
        <v>8</v>
      </c>
      <c r="G31">
        <v>0</v>
      </c>
      <c r="H31">
        <v>8</v>
      </c>
      <c r="I31">
        <v>23</v>
      </c>
      <c r="J31">
        <v>3</v>
      </c>
      <c r="K31">
        <v>7</v>
      </c>
      <c r="L31">
        <v>21</v>
      </c>
      <c r="M31">
        <v>11</v>
      </c>
      <c r="N31">
        <v>24</v>
      </c>
      <c r="O31">
        <v>38</v>
      </c>
      <c r="P31">
        <v>0</v>
      </c>
      <c r="Q31">
        <v>1</v>
      </c>
      <c r="R31">
        <v>0</v>
      </c>
      <c r="S31">
        <v>0</v>
      </c>
      <c r="T31">
        <v>5</v>
      </c>
      <c r="U31">
        <v>20</v>
      </c>
      <c r="V31">
        <v>16</v>
      </c>
      <c r="W31">
        <v>0</v>
      </c>
      <c r="X31">
        <v>31</v>
      </c>
      <c r="Y31">
        <v>7</v>
      </c>
      <c r="Z31">
        <v>1</v>
      </c>
      <c r="AA31">
        <v>353</v>
      </c>
      <c r="AB31">
        <v>16</v>
      </c>
      <c r="AC31">
        <v>12</v>
      </c>
      <c r="AD31">
        <v>0</v>
      </c>
      <c r="AE31">
        <v>5</v>
      </c>
      <c r="AF31">
        <v>0</v>
      </c>
      <c r="AG31">
        <v>0</v>
      </c>
      <c r="AH31">
        <v>85</v>
      </c>
      <c r="AI31">
        <v>2</v>
      </c>
      <c r="AJ31">
        <v>0</v>
      </c>
      <c r="AK31">
        <v>0</v>
      </c>
      <c r="AL31">
        <v>0</v>
      </c>
      <c r="AM31">
        <f>SUM(B31:AL31)</f>
        <v>745</v>
      </c>
    </row>
    <row r="32" spans="1:39" x14ac:dyDescent="0.25">
      <c r="A32" t="s">
        <v>48</v>
      </c>
      <c r="B32">
        <v>6</v>
      </c>
      <c r="C32">
        <v>0</v>
      </c>
      <c r="D32">
        <v>2</v>
      </c>
      <c r="E32">
        <v>29</v>
      </c>
      <c r="F32">
        <v>3</v>
      </c>
      <c r="G32">
        <v>0</v>
      </c>
      <c r="H32">
        <v>12</v>
      </c>
      <c r="I32">
        <v>40</v>
      </c>
      <c r="J32">
        <v>3</v>
      </c>
      <c r="K32">
        <v>17</v>
      </c>
      <c r="L32">
        <v>15</v>
      </c>
      <c r="M32">
        <v>8</v>
      </c>
      <c r="N32">
        <v>28</v>
      </c>
      <c r="O32">
        <v>49</v>
      </c>
      <c r="P32">
        <v>0</v>
      </c>
      <c r="Q32">
        <v>1</v>
      </c>
      <c r="R32">
        <v>0</v>
      </c>
      <c r="S32">
        <v>0</v>
      </c>
      <c r="T32">
        <v>5</v>
      </c>
      <c r="U32">
        <v>15</v>
      </c>
      <c r="V32">
        <v>35</v>
      </c>
      <c r="W32">
        <v>0</v>
      </c>
      <c r="X32">
        <v>26</v>
      </c>
      <c r="Y32">
        <v>10</v>
      </c>
      <c r="Z32">
        <v>0</v>
      </c>
      <c r="AA32">
        <v>238</v>
      </c>
      <c r="AB32">
        <v>9</v>
      </c>
      <c r="AC32">
        <v>26</v>
      </c>
      <c r="AD32">
        <v>1</v>
      </c>
      <c r="AE32">
        <v>3</v>
      </c>
      <c r="AF32">
        <v>0</v>
      </c>
      <c r="AG32">
        <v>0</v>
      </c>
      <c r="AH32">
        <v>96</v>
      </c>
      <c r="AI32">
        <v>2</v>
      </c>
      <c r="AJ32">
        <v>0</v>
      </c>
      <c r="AK32">
        <v>0</v>
      </c>
      <c r="AL32">
        <v>1</v>
      </c>
      <c r="AM32">
        <f>SUM(B32:AL32)</f>
        <v>680</v>
      </c>
    </row>
    <row r="33" spans="1:39" x14ac:dyDescent="0.25">
      <c r="A33" t="s">
        <v>89</v>
      </c>
      <c r="B33">
        <v>5</v>
      </c>
      <c r="C33">
        <v>0</v>
      </c>
      <c r="D33">
        <v>1</v>
      </c>
      <c r="E33">
        <v>35</v>
      </c>
      <c r="F33">
        <v>10</v>
      </c>
      <c r="G33">
        <v>0</v>
      </c>
      <c r="H33">
        <v>6</v>
      </c>
      <c r="I33">
        <v>29</v>
      </c>
      <c r="J33">
        <v>3</v>
      </c>
      <c r="K33">
        <v>10</v>
      </c>
      <c r="L33">
        <v>11</v>
      </c>
      <c r="M33">
        <v>3</v>
      </c>
      <c r="N33">
        <v>20</v>
      </c>
      <c r="O33">
        <v>30</v>
      </c>
      <c r="P33">
        <v>0</v>
      </c>
      <c r="Q33">
        <v>0</v>
      </c>
      <c r="R33">
        <v>0</v>
      </c>
      <c r="S33">
        <v>0</v>
      </c>
      <c r="T33">
        <v>2</v>
      </c>
      <c r="U33">
        <v>7</v>
      </c>
      <c r="V33">
        <v>41</v>
      </c>
      <c r="W33">
        <v>0</v>
      </c>
      <c r="X33">
        <v>14</v>
      </c>
      <c r="Y33">
        <v>7</v>
      </c>
      <c r="Z33">
        <v>0</v>
      </c>
      <c r="AA33">
        <v>307</v>
      </c>
      <c r="AB33">
        <v>7</v>
      </c>
      <c r="AC33">
        <v>23</v>
      </c>
      <c r="AD33">
        <v>0</v>
      </c>
      <c r="AE33">
        <v>1</v>
      </c>
      <c r="AF33">
        <v>0</v>
      </c>
      <c r="AG33">
        <v>0</v>
      </c>
      <c r="AH33">
        <v>88</v>
      </c>
      <c r="AI33">
        <v>0</v>
      </c>
      <c r="AJ33">
        <v>1</v>
      </c>
      <c r="AK33">
        <v>0</v>
      </c>
      <c r="AL33">
        <v>0</v>
      </c>
      <c r="AM33">
        <f>SUM(B33:AL33)</f>
        <v>661</v>
      </c>
    </row>
    <row r="34" spans="1:39" x14ac:dyDescent="0.25">
      <c r="A34" t="s">
        <v>70</v>
      </c>
      <c r="B34">
        <v>12</v>
      </c>
      <c r="C34">
        <v>0</v>
      </c>
      <c r="D34">
        <v>6</v>
      </c>
      <c r="E34">
        <v>33</v>
      </c>
      <c r="F34">
        <v>6</v>
      </c>
      <c r="G34">
        <v>2</v>
      </c>
      <c r="H34">
        <v>12</v>
      </c>
      <c r="I34">
        <v>34</v>
      </c>
      <c r="J34">
        <v>9</v>
      </c>
      <c r="K34">
        <v>8</v>
      </c>
      <c r="L34">
        <v>25</v>
      </c>
      <c r="M34">
        <v>8</v>
      </c>
      <c r="N34">
        <v>27</v>
      </c>
      <c r="O34">
        <v>48</v>
      </c>
      <c r="P34">
        <v>0</v>
      </c>
      <c r="Q34">
        <v>1</v>
      </c>
      <c r="R34">
        <v>0</v>
      </c>
      <c r="S34">
        <v>0</v>
      </c>
      <c r="T34">
        <v>6</v>
      </c>
      <c r="U34">
        <v>14</v>
      </c>
      <c r="V34">
        <v>38</v>
      </c>
      <c r="W34">
        <v>0</v>
      </c>
      <c r="X34">
        <v>30</v>
      </c>
      <c r="Y34">
        <v>10</v>
      </c>
      <c r="Z34">
        <v>0</v>
      </c>
      <c r="AA34">
        <v>167</v>
      </c>
      <c r="AB34">
        <v>4</v>
      </c>
      <c r="AC34">
        <v>18</v>
      </c>
      <c r="AD34">
        <v>0</v>
      </c>
      <c r="AE34">
        <v>6</v>
      </c>
      <c r="AF34">
        <v>0</v>
      </c>
      <c r="AG34">
        <v>0</v>
      </c>
      <c r="AH34">
        <v>131</v>
      </c>
      <c r="AI34">
        <v>3</v>
      </c>
      <c r="AJ34">
        <v>0</v>
      </c>
      <c r="AK34">
        <v>0</v>
      </c>
      <c r="AL34">
        <v>1</v>
      </c>
      <c r="AM34">
        <f>SUM(B34:AL34)</f>
        <v>659</v>
      </c>
    </row>
    <row r="35" spans="1:39" x14ac:dyDescent="0.25">
      <c r="A35" t="s">
        <v>64</v>
      </c>
      <c r="B35">
        <v>6</v>
      </c>
      <c r="C35">
        <v>0</v>
      </c>
      <c r="D35">
        <v>4</v>
      </c>
      <c r="E35">
        <v>44</v>
      </c>
      <c r="F35">
        <v>3</v>
      </c>
      <c r="G35">
        <v>0</v>
      </c>
      <c r="H35">
        <v>6</v>
      </c>
      <c r="I35">
        <v>44</v>
      </c>
      <c r="J35">
        <v>4</v>
      </c>
      <c r="K35">
        <v>17</v>
      </c>
      <c r="L35">
        <v>6</v>
      </c>
      <c r="M35">
        <v>1</v>
      </c>
      <c r="N35">
        <v>34</v>
      </c>
      <c r="O35">
        <v>14</v>
      </c>
      <c r="P35">
        <v>0</v>
      </c>
      <c r="Q35">
        <v>0</v>
      </c>
      <c r="R35">
        <v>0</v>
      </c>
      <c r="S35">
        <v>0</v>
      </c>
      <c r="T35">
        <v>7</v>
      </c>
      <c r="U35">
        <v>12</v>
      </c>
      <c r="V35">
        <v>35</v>
      </c>
      <c r="W35">
        <v>0</v>
      </c>
      <c r="X35">
        <v>5</v>
      </c>
      <c r="Y35">
        <v>2</v>
      </c>
      <c r="Z35">
        <v>0</v>
      </c>
      <c r="AA35">
        <v>257</v>
      </c>
      <c r="AB35">
        <v>9</v>
      </c>
      <c r="AC35">
        <v>13</v>
      </c>
      <c r="AD35">
        <v>0</v>
      </c>
      <c r="AE35">
        <v>2</v>
      </c>
      <c r="AF35">
        <v>0</v>
      </c>
      <c r="AG35">
        <v>0</v>
      </c>
      <c r="AH35">
        <v>44</v>
      </c>
      <c r="AI35">
        <v>2</v>
      </c>
      <c r="AJ35">
        <v>0</v>
      </c>
      <c r="AK35">
        <v>0</v>
      </c>
      <c r="AL35">
        <v>0</v>
      </c>
      <c r="AM35">
        <f>SUM(B35:AL35)</f>
        <v>571</v>
      </c>
    </row>
    <row r="36" spans="1:39" x14ac:dyDescent="0.25">
      <c r="A36" t="s">
        <v>83</v>
      </c>
      <c r="B36">
        <v>8</v>
      </c>
      <c r="C36">
        <v>1</v>
      </c>
      <c r="D36">
        <v>5</v>
      </c>
      <c r="E36">
        <v>18</v>
      </c>
      <c r="F36">
        <v>2</v>
      </c>
      <c r="G36">
        <v>1</v>
      </c>
      <c r="H36">
        <v>16</v>
      </c>
      <c r="I36">
        <v>29</v>
      </c>
      <c r="J36">
        <v>5</v>
      </c>
      <c r="K36">
        <v>9</v>
      </c>
      <c r="L36">
        <v>35</v>
      </c>
      <c r="M36">
        <v>7</v>
      </c>
      <c r="N36">
        <v>38</v>
      </c>
      <c r="O36">
        <v>37</v>
      </c>
      <c r="P36">
        <v>0</v>
      </c>
      <c r="Q36">
        <v>0</v>
      </c>
      <c r="R36">
        <v>0</v>
      </c>
      <c r="S36">
        <v>0</v>
      </c>
      <c r="T36">
        <v>8</v>
      </c>
      <c r="U36">
        <v>21</v>
      </c>
      <c r="V36">
        <v>28</v>
      </c>
      <c r="W36">
        <v>0</v>
      </c>
      <c r="X36">
        <v>20</v>
      </c>
      <c r="Y36">
        <v>14</v>
      </c>
      <c r="Z36">
        <v>2</v>
      </c>
      <c r="AA36">
        <v>109</v>
      </c>
      <c r="AB36">
        <v>5</v>
      </c>
      <c r="AC36">
        <v>21</v>
      </c>
      <c r="AD36">
        <v>2</v>
      </c>
      <c r="AE36">
        <v>5</v>
      </c>
      <c r="AF36">
        <v>1</v>
      </c>
      <c r="AG36">
        <v>0</v>
      </c>
      <c r="AH36">
        <v>82</v>
      </c>
      <c r="AI36">
        <v>2</v>
      </c>
      <c r="AJ36">
        <v>0</v>
      </c>
      <c r="AK36">
        <v>1</v>
      </c>
      <c r="AL36">
        <v>1</v>
      </c>
      <c r="AM36">
        <f>SUM(B36:AL36)</f>
        <v>533</v>
      </c>
    </row>
    <row r="37" spans="1:39" x14ac:dyDescent="0.25">
      <c r="A37" t="s">
        <v>69</v>
      </c>
      <c r="B37">
        <v>1</v>
      </c>
      <c r="C37">
        <v>0</v>
      </c>
      <c r="D37">
        <v>0</v>
      </c>
      <c r="E37">
        <v>14</v>
      </c>
      <c r="F37">
        <v>5</v>
      </c>
      <c r="G37">
        <v>0</v>
      </c>
      <c r="H37">
        <v>1</v>
      </c>
      <c r="I37">
        <v>24</v>
      </c>
      <c r="J37">
        <v>2</v>
      </c>
      <c r="K37">
        <v>13</v>
      </c>
      <c r="L37">
        <v>9</v>
      </c>
      <c r="M37">
        <v>0</v>
      </c>
      <c r="N37">
        <v>19</v>
      </c>
      <c r="O37">
        <v>16</v>
      </c>
      <c r="P37">
        <v>1</v>
      </c>
      <c r="Q37">
        <v>0</v>
      </c>
      <c r="R37">
        <v>0</v>
      </c>
      <c r="S37">
        <v>0</v>
      </c>
      <c r="T37">
        <v>5</v>
      </c>
      <c r="U37">
        <v>11</v>
      </c>
      <c r="V37">
        <v>14</v>
      </c>
      <c r="W37">
        <v>0</v>
      </c>
      <c r="X37">
        <v>1</v>
      </c>
      <c r="Y37">
        <v>4</v>
      </c>
      <c r="Z37">
        <v>0</v>
      </c>
      <c r="AA37">
        <v>224</v>
      </c>
      <c r="AB37">
        <v>15</v>
      </c>
      <c r="AC37">
        <v>8</v>
      </c>
      <c r="AD37">
        <v>0</v>
      </c>
      <c r="AE37">
        <v>1</v>
      </c>
      <c r="AF37">
        <v>0</v>
      </c>
      <c r="AG37">
        <v>0</v>
      </c>
      <c r="AH37">
        <v>86</v>
      </c>
      <c r="AI37">
        <v>1</v>
      </c>
      <c r="AJ37">
        <v>0</v>
      </c>
      <c r="AK37">
        <v>0</v>
      </c>
      <c r="AL37">
        <v>1</v>
      </c>
      <c r="AM37">
        <f>SUM(B37:AL37)</f>
        <v>476</v>
      </c>
    </row>
    <row r="38" spans="1:39" x14ac:dyDescent="0.25">
      <c r="A38" t="s">
        <v>56</v>
      </c>
      <c r="B38">
        <v>14</v>
      </c>
      <c r="C38">
        <v>0</v>
      </c>
      <c r="D38">
        <v>6</v>
      </c>
      <c r="E38">
        <v>12</v>
      </c>
      <c r="F38">
        <v>2</v>
      </c>
      <c r="G38">
        <v>1</v>
      </c>
      <c r="H38">
        <v>12</v>
      </c>
      <c r="I38">
        <v>35</v>
      </c>
      <c r="J38">
        <v>4</v>
      </c>
      <c r="K38">
        <v>11</v>
      </c>
      <c r="L38">
        <v>17</v>
      </c>
      <c r="M38">
        <v>5</v>
      </c>
      <c r="N38">
        <v>19</v>
      </c>
      <c r="O38">
        <v>41</v>
      </c>
      <c r="P38">
        <v>0</v>
      </c>
      <c r="Q38">
        <v>0</v>
      </c>
      <c r="R38">
        <v>0</v>
      </c>
      <c r="S38">
        <v>0</v>
      </c>
      <c r="T38">
        <v>9</v>
      </c>
      <c r="U38">
        <v>14</v>
      </c>
      <c r="V38">
        <v>23</v>
      </c>
      <c r="W38">
        <v>1</v>
      </c>
      <c r="X38">
        <v>24</v>
      </c>
      <c r="Y38">
        <v>8</v>
      </c>
      <c r="Z38">
        <v>0</v>
      </c>
      <c r="AA38">
        <v>90</v>
      </c>
      <c r="AB38">
        <v>9</v>
      </c>
      <c r="AC38">
        <v>14</v>
      </c>
      <c r="AD38">
        <v>2</v>
      </c>
      <c r="AE38">
        <v>2</v>
      </c>
      <c r="AF38">
        <v>0</v>
      </c>
      <c r="AG38">
        <v>0</v>
      </c>
      <c r="AH38">
        <v>70</v>
      </c>
      <c r="AI38">
        <v>3</v>
      </c>
      <c r="AJ38">
        <v>0</v>
      </c>
      <c r="AK38">
        <v>0</v>
      </c>
      <c r="AL38">
        <v>3</v>
      </c>
      <c r="AM38">
        <f>SUM(B38:AL38)</f>
        <v>451</v>
      </c>
    </row>
    <row r="39" spans="1:39" x14ac:dyDescent="0.25">
      <c r="A39" t="s">
        <v>62</v>
      </c>
      <c r="B39">
        <v>6</v>
      </c>
      <c r="C39">
        <v>0</v>
      </c>
      <c r="D39">
        <v>2</v>
      </c>
      <c r="E39">
        <v>19</v>
      </c>
      <c r="F39">
        <v>4</v>
      </c>
      <c r="G39">
        <v>0</v>
      </c>
      <c r="H39">
        <v>6</v>
      </c>
      <c r="I39">
        <v>22</v>
      </c>
      <c r="J39">
        <v>3</v>
      </c>
      <c r="K39">
        <v>6</v>
      </c>
      <c r="L39">
        <v>6</v>
      </c>
      <c r="M39">
        <v>9</v>
      </c>
      <c r="N39">
        <v>20</v>
      </c>
      <c r="O39">
        <v>19</v>
      </c>
      <c r="P39">
        <v>0</v>
      </c>
      <c r="Q39">
        <v>1</v>
      </c>
      <c r="R39">
        <v>0</v>
      </c>
      <c r="S39">
        <v>0</v>
      </c>
      <c r="T39">
        <v>5</v>
      </c>
      <c r="U39">
        <v>15</v>
      </c>
      <c r="V39">
        <v>30</v>
      </c>
      <c r="W39">
        <v>0</v>
      </c>
      <c r="X39">
        <v>9</v>
      </c>
      <c r="Y39">
        <v>5</v>
      </c>
      <c r="Z39">
        <v>0</v>
      </c>
      <c r="AA39">
        <v>127</v>
      </c>
      <c r="AB39">
        <v>16</v>
      </c>
      <c r="AC39">
        <v>11</v>
      </c>
      <c r="AD39">
        <v>0</v>
      </c>
      <c r="AE39">
        <v>2</v>
      </c>
      <c r="AF39">
        <v>0</v>
      </c>
      <c r="AG39">
        <v>0</v>
      </c>
      <c r="AH39">
        <v>67</v>
      </c>
      <c r="AI39">
        <v>5</v>
      </c>
      <c r="AJ39">
        <v>0</v>
      </c>
      <c r="AK39">
        <v>0</v>
      </c>
      <c r="AL39">
        <v>1</v>
      </c>
      <c r="AM39">
        <f>SUM(B39:AL39)</f>
        <v>416</v>
      </c>
    </row>
    <row r="40" spans="1:39" x14ac:dyDescent="0.25">
      <c r="A40" t="s">
        <v>75</v>
      </c>
      <c r="B40">
        <v>3</v>
      </c>
      <c r="C40">
        <v>0</v>
      </c>
      <c r="D40">
        <v>0</v>
      </c>
      <c r="E40">
        <v>12</v>
      </c>
      <c r="F40">
        <v>4</v>
      </c>
      <c r="G40">
        <v>0</v>
      </c>
      <c r="H40">
        <v>8</v>
      </c>
      <c r="I40">
        <v>25</v>
      </c>
      <c r="J40">
        <v>1</v>
      </c>
      <c r="K40">
        <v>4</v>
      </c>
      <c r="L40">
        <v>16</v>
      </c>
      <c r="M40">
        <v>7</v>
      </c>
      <c r="N40">
        <v>25</v>
      </c>
      <c r="O40">
        <v>22</v>
      </c>
      <c r="P40">
        <v>0</v>
      </c>
      <c r="Q40">
        <v>1</v>
      </c>
      <c r="R40">
        <v>0</v>
      </c>
      <c r="S40">
        <v>0</v>
      </c>
      <c r="T40">
        <v>3</v>
      </c>
      <c r="U40">
        <v>14</v>
      </c>
      <c r="V40">
        <v>17</v>
      </c>
      <c r="W40">
        <v>0</v>
      </c>
      <c r="X40">
        <v>5</v>
      </c>
      <c r="Y40">
        <v>3</v>
      </c>
      <c r="Z40">
        <v>0</v>
      </c>
      <c r="AA40">
        <v>103</v>
      </c>
      <c r="AB40">
        <v>8</v>
      </c>
      <c r="AC40">
        <v>5</v>
      </c>
      <c r="AD40">
        <v>0</v>
      </c>
      <c r="AE40">
        <v>1</v>
      </c>
      <c r="AF40">
        <v>0</v>
      </c>
      <c r="AG40">
        <v>0</v>
      </c>
      <c r="AH40">
        <v>62</v>
      </c>
      <c r="AI40">
        <v>1</v>
      </c>
      <c r="AJ40">
        <v>0</v>
      </c>
      <c r="AK40">
        <v>0</v>
      </c>
      <c r="AL40">
        <v>0</v>
      </c>
      <c r="AM40">
        <f>SUM(B40:AL40)</f>
        <v>350</v>
      </c>
    </row>
    <row r="41" spans="1:39" x14ac:dyDescent="0.25">
      <c r="A41" t="s">
        <v>80</v>
      </c>
      <c r="B41">
        <v>9</v>
      </c>
      <c r="C41">
        <v>0</v>
      </c>
      <c r="D41">
        <v>1</v>
      </c>
      <c r="E41">
        <v>17</v>
      </c>
      <c r="F41">
        <v>2</v>
      </c>
      <c r="G41">
        <v>0</v>
      </c>
      <c r="H41">
        <v>7</v>
      </c>
      <c r="I41">
        <v>18</v>
      </c>
      <c r="J41">
        <v>1</v>
      </c>
      <c r="K41">
        <v>2</v>
      </c>
      <c r="L41">
        <v>9</v>
      </c>
      <c r="M41">
        <v>1</v>
      </c>
      <c r="N41">
        <v>7</v>
      </c>
      <c r="O41">
        <v>24</v>
      </c>
      <c r="P41">
        <v>0</v>
      </c>
      <c r="Q41">
        <v>1</v>
      </c>
      <c r="R41">
        <v>0</v>
      </c>
      <c r="S41">
        <v>0</v>
      </c>
      <c r="T41">
        <v>0</v>
      </c>
      <c r="U41">
        <v>16</v>
      </c>
      <c r="V41">
        <v>23</v>
      </c>
      <c r="W41">
        <v>0</v>
      </c>
      <c r="X41">
        <v>11</v>
      </c>
      <c r="Y41">
        <v>2</v>
      </c>
      <c r="Z41">
        <v>0</v>
      </c>
      <c r="AA41">
        <v>113</v>
      </c>
      <c r="AB41">
        <v>4</v>
      </c>
      <c r="AC41">
        <v>5</v>
      </c>
      <c r="AD41">
        <v>0</v>
      </c>
      <c r="AE41">
        <v>0</v>
      </c>
      <c r="AF41">
        <v>0</v>
      </c>
      <c r="AG41">
        <v>0</v>
      </c>
      <c r="AH41">
        <v>39</v>
      </c>
      <c r="AI41">
        <v>3</v>
      </c>
      <c r="AJ41">
        <v>0</v>
      </c>
      <c r="AK41">
        <v>0</v>
      </c>
      <c r="AL41">
        <v>0</v>
      </c>
      <c r="AM41">
        <f>SUM(B41:AL41)</f>
        <v>315</v>
      </c>
    </row>
    <row r="42" spans="1:39" x14ac:dyDescent="0.25">
      <c r="A42" t="s">
        <v>81</v>
      </c>
      <c r="B42">
        <v>4</v>
      </c>
      <c r="C42">
        <v>0</v>
      </c>
      <c r="D42">
        <v>1</v>
      </c>
      <c r="E42">
        <v>11</v>
      </c>
      <c r="F42">
        <v>3</v>
      </c>
      <c r="G42">
        <v>0</v>
      </c>
      <c r="H42">
        <v>2</v>
      </c>
      <c r="I42">
        <v>15</v>
      </c>
      <c r="J42">
        <v>1</v>
      </c>
      <c r="K42">
        <v>2</v>
      </c>
      <c r="L42">
        <v>7</v>
      </c>
      <c r="M42">
        <v>2</v>
      </c>
      <c r="N42">
        <v>6</v>
      </c>
      <c r="O42">
        <v>8</v>
      </c>
      <c r="P42">
        <v>1</v>
      </c>
      <c r="Q42">
        <v>0</v>
      </c>
      <c r="R42">
        <v>0</v>
      </c>
      <c r="S42">
        <v>0</v>
      </c>
      <c r="T42">
        <v>1</v>
      </c>
      <c r="U42">
        <v>4</v>
      </c>
      <c r="V42">
        <v>9</v>
      </c>
      <c r="W42">
        <v>0</v>
      </c>
      <c r="X42">
        <v>11</v>
      </c>
      <c r="Y42">
        <v>4</v>
      </c>
      <c r="Z42">
        <v>0</v>
      </c>
      <c r="AA42">
        <v>157</v>
      </c>
      <c r="AB42">
        <v>2</v>
      </c>
      <c r="AC42">
        <v>11</v>
      </c>
      <c r="AD42">
        <v>0</v>
      </c>
      <c r="AE42">
        <v>0</v>
      </c>
      <c r="AF42">
        <v>0</v>
      </c>
      <c r="AG42">
        <v>0</v>
      </c>
      <c r="AH42">
        <v>43</v>
      </c>
      <c r="AI42">
        <v>0</v>
      </c>
      <c r="AJ42">
        <v>0</v>
      </c>
      <c r="AK42">
        <v>0</v>
      </c>
      <c r="AL42">
        <v>0</v>
      </c>
      <c r="AM42">
        <f>SUM(B42:AL42)</f>
        <v>305</v>
      </c>
    </row>
    <row r="43" spans="1:39" x14ac:dyDescent="0.25">
      <c r="A43" t="s">
        <v>91</v>
      </c>
      <c r="B43">
        <v>2</v>
      </c>
      <c r="C43">
        <v>0</v>
      </c>
      <c r="D43">
        <v>3</v>
      </c>
      <c r="E43">
        <v>18</v>
      </c>
      <c r="F43">
        <v>2</v>
      </c>
      <c r="G43">
        <v>0</v>
      </c>
      <c r="H43">
        <v>5</v>
      </c>
      <c r="I43">
        <v>13</v>
      </c>
      <c r="J43">
        <v>1</v>
      </c>
      <c r="K43">
        <v>3</v>
      </c>
      <c r="L43">
        <v>9</v>
      </c>
      <c r="M43">
        <v>0</v>
      </c>
      <c r="N43">
        <v>7</v>
      </c>
      <c r="O43">
        <v>16</v>
      </c>
      <c r="P43">
        <v>0</v>
      </c>
      <c r="Q43">
        <v>0</v>
      </c>
      <c r="R43">
        <v>0</v>
      </c>
      <c r="S43">
        <v>0</v>
      </c>
      <c r="T43">
        <v>1</v>
      </c>
      <c r="U43">
        <v>6</v>
      </c>
      <c r="V43">
        <v>19</v>
      </c>
      <c r="W43">
        <v>0</v>
      </c>
      <c r="X43">
        <v>6</v>
      </c>
      <c r="Y43">
        <v>6</v>
      </c>
      <c r="Z43">
        <v>0</v>
      </c>
      <c r="AA43">
        <v>78</v>
      </c>
      <c r="AB43">
        <v>4</v>
      </c>
      <c r="AC43">
        <v>7</v>
      </c>
      <c r="AD43">
        <v>0</v>
      </c>
      <c r="AE43">
        <v>1</v>
      </c>
      <c r="AF43">
        <v>0</v>
      </c>
      <c r="AG43">
        <v>0</v>
      </c>
      <c r="AH43">
        <v>57</v>
      </c>
      <c r="AI43">
        <v>1</v>
      </c>
      <c r="AJ43">
        <v>0</v>
      </c>
      <c r="AK43">
        <v>0</v>
      </c>
      <c r="AL43">
        <v>0</v>
      </c>
      <c r="AM43">
        <f>SUM(B43:AL43)</f>
        <v>265</v>
      </c>
    </row>
    <row r="44" spans="1:39" x14ac:dyDescent="0.25">
      <c r="A44" t="s">
        <v>50</v>
      </c>
      <c r="B44">
        <v>3</v>
      </c>
      <c r="C44">
        <v>1</v>
      </c>
      <c r="D44">
        <v>1</v>
      </c>
      <c r="E44">
        <v>7</v>
      </c>
      <c r="F44">
        <v>3</v>
      </c>
      <c r="G44">
        <v>1</v>
      </c>
      <c r="H44">
        <v>10</v>
      </c>
      <c r="I44">
        <v>16</v>
      </c>
      <c r="J44">
        <v>1</v>
      </c>
      <c r="K44">
        <v>2</v>
      </c>
      <c r="L44">
        <v>8</v>
      </c>
      <c r="M44">
        <v>4</v>
      </c>
      <c r="N44">
        <v>5</v>
      </c>
      <c r="O44">
        <v>29</v>
      </c>
      <c r="P44">
        <v>0</v>
      </c>
      <c r="Q44">
        <v>0</v>
      </c>
      <c r="R44">
        <v>0</v>
      </c>
      <c r="S44">
        <v>0</v>
      </c>
      <c r="T44">
        <v>2</v>
      </c>
      <c r="U44">
        <v>8</v>
      </c>
      <c r="V44">
        <v>15</v>
      </c>
      <c r="W44">
        <v>0</v>
      </c>
      <c r="X44">
        <v>8</v>
      </c>
      <c r="Y44">
        <v>8</v>
      </c>
      <c r="Z44">
        <v>0</v>
      </c>
      <c r="AA44">
        <v>47</v>
      </c>
      <c r="AB44">
        <v>2</v>
      </c>
      <c r="AC44">
        <v>8</v>
      </c>
      <c r="AD44">
        <v>0</v>
      </c>
      <c r="AE44">
        <v>7</v>
      </c>
      <c r="AF44">
        <v>0</v>
      </c>
      <c r="AG44">
        <v>0</v>
      </c>
      <c r="AH44">
        <v>42</v>
      </c>
      <c r="AI44">
        <v>6</v>
      </c>
      <c r="AJ44">
        <v>0</v>
      </c>
      <c r="AK44">
        <v>0</v>
      </c>
      <c r="AL44">
        <v>0</v>
      </c>
      <c r="AM44">
        <f>SUM(B44:AL44)</f>
        <v>244</v>
      </c>
    </row>
    <row r="45" spans="1:39" x14ac:dyDescent="0.25">
      <c r="A45" t="s">
        <v>47</v>
      </c>
      <c r="B45">
        <v>1</v>
      </c>
      <c r="C45">
        <v>0</v>
      </c>
      <c r="D45">
        <v>3</v>
      </c>
      <c r="E45">
        <v>3</v>
      </c>
      <c r="F45">
        <v>4</v>
      </c>
      <c r="G45">
        <v>0</v>
      </c>
      <c r="H45">
        <v>8</v>
      </c>
      <c r="I45">
        <v>34</v>
      </c>
      <c r="J45">
        <v>2</v>
      </c>
      <c r="K45">
        <v>1</v>
      </c>
      <c r="L45">
        <v>10</v>
      </c>
      <c r="M45">
        <v>6</v>
      </c>
      <c r="N45">
        <v>5</v>
      </c>
      <c r="O45">
        <v>19</v>
      </c>
      <c r="P45">
        <v>0</v>
      </c>
      <c r="Q45">
        <v>0</v>
      </c>
      <c r="R45">
        <v>0</v>
      </c>
      <c r="S45">
        <v>0</v>
      </c>
      <c r="T45">
        <v>0</v>
      </c>
      <c r="U45">
        <v>5</v>
      </c>
      <c r="V45">
        <v>11</v>
      </c>
      <c r="W45">
        <v>0</v>
      </c>
      <c r="X45">
        <v>2</v>
      </c>
      <c r="Y45">
        <v>3</v>
      </c>
      <c r="Z45">
        <v>0</v>
      </c>
      <c r="AA45">
        <v>60</v>
      </c>
      <c r="AB45">
        <v>5</v>
      </c>
      <c r="AC45">
        <v>3</v>
      </c>
      <c r="AD45">
        <v>0</v>
      </c>
      <c r="AE45">
        <v>1</v>
      </c>
      <c r="AF45">
        <v>0</v>
      </c>
      <c r="AG45">
        <v>0</v>
      </c>
      <c r="AH45">
        <v>46</v>
      </c>
      <c r="AI45">
        <v>0</v>
      </c>
      <c r="AJ45">
        <v>0</v>
      </c>
      <c r="AK45">
        <v>0</v>
      </c>
      <c r="AL45">
        <v>1</v>
      </c>
      <c r="AM45">
        <f>SUM(B45:AL45)</f>
        <v>233</v>
      </c>
    </row>
    <row r="46" spans="1:39" x14ac:dyDescent="0.25">
      <c r="A46" t="s">
        <v>88</v>
      </c>
      <c r="B46">
        <v>2</v>
      </c>
      <c r="C46">
        <v>0</v>
      </c>
      <c r="D46">
        <v>0</v>
      </c>
      <c r="E46">
        <v>29</v>
      </c>
      <c r="F46">
        <v>4</v>
      </c>
      <c r="G46">
        <v>0</v>
      </c>
      <c r="H46">
        <v>3</v>
      </c>
      <c r="I46">
        <v>5</v>
      </c>
      <c r="J46">
        <v>1</v>
      </c>
      <c r="K46">
        <v>20</v>
      </c>
      <c r="L46">
        <v>6</v>
      </c>
      <c r="M46">
        <v>1</v>
      </c>
      <c r="N46">
        <v>6</v>
      </c>
      <c r="O46">
        <v>10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35</v>
      </c>
      <c r="W46">
        <v>0</v>
      </c>
      <c r="X46">
        <v>3</v>
      </c>
      <c r="Y46">
        <v>2</v>
      </c>
      <c r="Z46">
        <v>0</v>
      </c>
      <c r="AA46">
        <v>28</v>
      </c>
      <c r="AB46">
        <v>3</v>
      </c>
      <c r="AC46">
        <v>3</v>
      </c>
      <c r="AD46">
        <v>0</v>
      </c>
      <c r="AE46">
        <v>0</v>
      </c>
      <c r="AF46">
        <v>0</v>
      </c>
      <c r="AG46">
        <v>0</v>
      </c>
      <c r="AH46">
        <v>11</v>
      </c>
      <c r="AI46">
        <v>0</v>
      </c>
      <c r="AJ46">
        <v>0</v>
      </c>
      <c r="AK46">
        <v>0</v>
      </c>
      <c r="AL46">
        <v>0</v>
      </c>
      <c r="AM46">
        <f>SUM(B46:AL46)</f>
        <v>174</v>
      </c>
    </row>
    <row r="47" spans="1:39" x14ac:dyDescent="0.25">
      <c r="A47" t="s">
        <v>38</v>
      </c>
      <c r="B47">
        <v>2</v>
      </c>
      <c r="C47">
        <v>0</v>
      </c>
      <c r="D47">
        <v>0</v>
      </c>
      <c r="E47">
        <v>5</v>
      </c>
      <c r="F47">
        <v>0</v>
      </c>
      <c r="G47">
        <v>0</v>
      </c>
      <c r="H47">
        <v>8</v>
      </c>
      <c r="I47">
        <v>7</v>
      </c>
      <c r="J47">
        <v>0</v>
      </c>
      <c r="K47">
        <v>2</v>
      </c>
      <c r="L47">
        <v>2</v>
      </c>
      <c r="M47">
        <v>0</v>
      </c>
      <c r="N47">
        <v>3</v>
      </c>
      <c r="O47">
        <v>3</v>
      </c>
      <c r="P47">
        <v>0</v>
      </c>
      <c r="Q47">
        <v>0</v>
      </c>
      <c r="R47">
        <v>0</v>
      </c>
      <c r="S47">
        <v>0</v>
      </c>
      <c r="T47">
        <v>1</v>
      </c>
      <c r="U47">
        <v>3</v>
      </c>
      <c r="V47">
        <v>7</v>
      </c>
      <c r="W47">
        <v>0</v>
      </c>
      <c r="X47">
        <v>3</v>
      </c>
      <c r="Y47">
        <v>2</v>
      </c>
      <c r="Z47">
        <v>0</v>
      </c>
      <c r="AA47">
        <v>48</v>
      </c>
      <c r="AB47">
        <v>1</v>
      </c>
      <c r="AC47">
        <v>2</v>
      </c>
      <c r="AD47">
        <v>0</v>
      </c>
      <c r="AE47">
        <v>1</v>
      </c>
      <c r="AF47">
        <v>0</v>
      </c>
      <c r="AG47">
        <v>0</v>
      </c>
      <c r="AH47">
        <v>19</v>
      </c>
      <c r="AI47">
        <v>0</v>
      </c>
      <c r="AJ47">
        <v>0</v>
      </c>
      <c r="AK47">
        <v>0</v>
      </c>
      <c r="AL47">
        <v>0</v>
      </c>
      <c r="AM47">
        <f>SUM(B47:AL47)</f>
        <v>119</v>
      </c>
    </row>
    <row r="48" spans="1:39" x14ac:dyDescent="0.25">
      <c r="A48" t="s">
        <v>71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3</v>
      </c>
      <c r="J48">
        <v>1</v>
      </c>
      <c r="K48">
        <v>3</v>
      </c>
      <c r="L48">
        <v>0</v>
      </c>
      <c r="M48">
        <v>0</v>
      </c>
      <c r="N48">
        <v>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6</v>
      </c>
      <c r="W48">
        <v>0</v>
      </c>
      <c r="X48">
        <v>0</v>
      </c>
      <c r="Y48">
        <v>0</v>
      </c>
      <c r="Z48">
        <v>0</v>
      </c>
      <c r="AA48">
        <v>63</v>
      </c>
      <c r="AB48">
        <v>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11</v>
      </c>
      <c r="AI48">
        <v>0</v>
      </c>
      <c r="AJ48">
        <v>0</v>
      </c>
      <c r="AK48">
        <v>0</v>
      </c>
      <c r="AL48">
        <v>0</v>
      </c>
      <c r="AM48">
        <f>SUM(B48:AL48)</f>
        <v>95</v>
      </c>
    </row>
    <row r="49" spans="1:39" x14ac:dyDescent="0.25">
      <c r="A49" t="s">
        <v>85</v>
      </c>
      <c r="B49">
        <v>1</v>
      </c>
      <c r="C49">
        <v>0</v>
      </c>
      <c r="D49">
        <v>1</v>
      </c>
      <c r="E49">
        <v>3</v>
      </c>
      <c r="F49">
        <v>0</v>
      </c>
      <c r="G49">
        <v>0</v>
      </c>
      <c r="H49">
        <v>2</v>
      </c>
      <c r="I49">
        <v>0</v>
      </c>
      <c r="J49">
        <v>1</v>
      </c>
      <c r="K49">
        <v>0</v>
      </c>
      <c r="L49">
        <v>0</v>
      </c>
      <c r="M49">
        <v>0</v>
      </c>
      <c r="N49">
        <v>2</v>
      </c>
      <c r="O49">
        <v>4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8</v>
      </c>
      <c r="W49">
        <v>0</v>
      </c>
      <c r="X49">
        <v>2</v>
      </c>
      <c r="Y49">
        <v>2</v>
      </c>
      <c r="Z49">
        <v>0</v>
      </c>
      <c r="AA49">
        <v>14</v>
      </c>
      <c r="AB49">
        <v>1</v>
      </c>
      <c r="AC49">
        <v>7</v>
      </c>
      <c r="AD49">
        <v>0</v>
      </c>
      <c r="AE49">
        <v>0</v>
      </c>
      <c r="AF49">
        <v>0</v>
      </c>
      <c r="AG49">
        <v>0</v>
      </c>
      <c r="AH49">
        <v>6</v>
      </c>
      <c r="AI49">
        <v>0</v>
      </c>
      <c r="AJ49">
        <v>0</v>
      </c>
      <c r="AK49">
        <v>0</v>
      </c>
      <c r="AL49">
        <v>0</v>
      </c>
      <c r="AM49">
        <f>SUM(B49:AL49)</f>
        <v>55</v>
      </c>
    </row>
    <row r="50" spans="1:39" x14ac:dyDescent="0.25">
      <c r="A50" t="s">
        <v>44</v>
      </c>
      <c r="B50">
        <v>1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10</v>
      </c>
      <c r="J50">
        <v>0</v>
      </c>
      <c r="K50">
        <v>0</v>
      </c>
      <c r="L50">
        <v>1</v>
      </c>
      <c r="M50">
        <v>1</v>
      </c>
      <c r="N50">
        <v>3</v>
      </c>
      <c r="O50">
        <v>4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3</v>
      </c>
      <c r="W50">
        <v>0</v>
      </c>
      <c r="X50">
        <v>0</v>
      </c>
      <c r="Y50">
        <v>1</v>
      </c>
      <c r="Z50">
        <v>0</v>
      </c>
      <c r="AA50">
        <v>14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11</v>
      </c>
      <c r="AI50">
        <v>0</v>
      </c>
      <c r="AJ50">
        <v>0</v>
      </c>
      <c r="AK50">
        <v>0</v>
      </c>
      <c r="AL50">
        <v>0</v>
      </c>
      <c r="AM50">
        <f>SUM(B50:AL50)</f>
        <v>54</v>
      </c>
    </row>
    <row r="51" spans="1:39" x14ac:dyDescent="0.25">
      <c r="A51" t="s">
        <v>87</v>
      </c>
      <c r="B51">
        <v>1</v>
      </c>
      <c r="C51">
        <v>0</v>
      </c>
      <c r="D51">
        <v>0</v>
      </c>
      <c r="E51">
        <v>3</v>
      </c>
      <c r="F51">
        <v>1</v>
      </c>
      <c r="G51">
        <v>0</v>
      </c>
      <c r="H51">
        <v>2</v>
      </c>
      <c r="I51">
        <v>4</v>
      </c>
      <c r="J51">
        <v>1</v>
      </c>
      <c r="K51">
        <v>1</v>
      </c>
      <c r="L51">
        <v>1</v>
      </c>
      <c r="M51">
        <v>0</v>
      </c>
      <c r="N51">
        <v>3</v>
      </c>
      <c r="O51">
        <v>7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2</v>
      </c>
      <c r="W51">
        <v>0</v>
      </c>
      <c r="X51">
        <v>4</v>
      </c>
      <c r="Y51">
        <v>1</v>
      </c>
      <c r="Z51">
        <v>0</v>
      </c>
      <c r="AA51">
        <v>10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8</v>
      </c>
      <c r="AI51">
        <v>0</v>
      </c>
      <c r="AJ51">
        <v>0</v>
      </c>
      <c r="AK51">
        <v>0</v>
      </c>
      <c r="AL51">
        <v>0</v>
      </c>
      <c r="AM51">
        <f>SUM(B51:AL51)</f>
        <v>53</v>
      </c>
    </row>
    <row r="52" spans="1:39" x14ac:dyDescent="0.25">
      <c r="A52" t="s">
        <v>79</v>
      </c>
      <c r="B52">
        <v>0</v>
      </c>
      <c r="C52">
        <v>0</v>
      </c>
      <c r="D52">
        <v>0</v>
      </c>
      <c r="E52">
        <v>2</v>
      </c>
      <c r="F52">
        <v>0</v>
      </c>
      <c r="G52">
        <v>0</v>
      </c>
      <c r="H52">
        <v>3</v>
      </c>
      <c r="I52">
        <v>2</v>
      </c>
      <c r="J52">
        <v>0</v>
      </c>
      <c r="K52">
        <v>2</v>
      </c>
      <c r="L52">
        <v>1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0</v>
      </c>
      <c r="X52">
        <v>1</v>
      </c>
      <c r="Y52">
        <v>1</v>
      </c>
      <c r="Z52">
        <v>0</v>
      </c>
      <c r="AA52">
        <v>4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4</v>
      </c>
      <c r="AI52">
        <v>0</v>
      </c>
      <c r="AJ52">
        <v>0</v>
      </c>
      <c r="AK52">
        <v>0</v>
      </c>
      <c r="AL52">
        <v>0</v>
      </c>
      <c r="AM52">
        <f>SUM(B52:AL52)</f>
        <v>25</v>
      </c>
    </row>
    <row r="53" spans="1:39" x14ac:dyDescent="0.25">
      <c r="A53" t="s">
        <v>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4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f>SUM(B53:AL53)</f>
        <v>12</v>
      </c>
    </row>
    <row r="54" spans="1:39" x14ac:dyDescent="0.25">
      <c r="A54" t="s">
        <v>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f>SUM(B54:AL54)</f>
        <v>2</v>
      </c>
    </row>
    <row r="55" spans="1:39" x14ac:dyDescent="0.25">
      <c r="A55" t="s">
        <v>57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f>SUM(B55:AL55)</f>
        <v>1</v>
      </c>
    </row>
  </sheetData>
  <sortState ref="A2:AM55">
    <sortCondition descending="1" ref="AM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Aggregated_Complaints_by_State_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2024-05-24T08:44:21Z</dcterms:created>
  <dcterms:modified xsi:type="dcterms:W3CDTF">2024-05-24T08:44:21Z</dcterms:modified>
</cp:coreProperties>
</file>